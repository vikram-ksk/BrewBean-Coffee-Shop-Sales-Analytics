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A49AACFA-D438-4F25-99AD-B7DF2921D289}" xr6:coauthVersionLast="47" xr6:coauthVersionMax="47" xr10:uidLastSave="{00000000-0000-0000-0000-000000000000}"/>
  <bookViews>
    <workbookView xWindow="11424" yWindow="0" windowWidth="11712" windowHeight="12336" xr2:uid="{2A2FB501-FAE5-4E31-81FD-5838E4AB8170}"/>
  </bookViews>
  <sheets>
    <sheet name="CLEANED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01" i="1" l="1"/>
  <c r="D801" i="1"/>
  <c r="AF800" i="1"/>
  <c r="D800" i="1"/>
  <c r="AF799" i="1"/>
  <c r="D799" i="1"/>
  <c r="AF798" i="1"/>
  <c r="D798" i="1"/>
  <c r="AF797" i="1"/>
  <c r="D797" i="1"/>
  <c r="AF796" i="1"/>
  <c r="D796" i="1"/>
  <c r="AF795" i="1"/>
  <c r="D795" i="1"/>
  <c r="AF794" i="1"/>
  <c r="D794" i="1"/>
  <c r="AF793" i="1"/>
  <c r="D793" i="1"/>
  <c r="AF792" i="1"/>
  <c r="D792" i="1"/>
  <c r="AF791" i="1"/>
  <c r="D791" i="1"/>
  <c r="AF790" i="1"/>
  <c r="D790" i="1"/>
  <c r="AF789" i="1"/>
  <c r="D789" i="1"/>
  <c r="AF788" i="1"/>
  <c r="D788" i="1"/>
  <c r="AF787" i="1"/>
  <c r="D787" i="1"/>
  <c r="AF786" i="1"/>
  <c r="D786" i="1"/>
  <c r="AF785" i="1"/>
  <c r="D785" i="1"/>
  <c r="AF784" i="1"/>
  <c r="D784" i="1"/>
  <c r="AF783" i="1"/>
  <c r="D783" i="1"/>
  <c r="AF782" i="1"/>
  <c r="D782" i="1"/>
  <c r="AF781" i="1"/>
  <c r="D781" i="1"/>
  <c r="AF780" i="1"/>
  <c r="D780" i="1"/>
  <c r="AF779" i="1"/>
  <c r="D779" i="1"/>
  <c r="AF778" i="1"/>
  <c r="D778" i="1"/>
  <c r="AF777" i="1"/>
  <c r="D777" i="1"/>
  <c r="AF776" i="1"/>
  <c r="D776" i="1"/>
  <c r="AF775" i="1"/>
  <c r="D775" i="1"/>
  <c r="AF774" i="1"/>
  <c r="D774" i="1"/>
  <c r="AF773" i="1"/>
  <c r="D773" i="1"/>
  <c r="AF772" i="1"/>
  <c r="D772" i="1"/>
  <c r="AF771" i="1"/>
  <c r="D771" i="1"/>
  <c r="AF770" i="1"/>
  <c r="D770" i="1"/>
  <c r="AF769" i="1"/>
  <c r="D769" i="1"/>
  <c r="AF768" i="1"/>
  <c r="D768" i="1"/>
  <c r="AF767" i="1"/>
  <c r="D767" i="1"/>
  <c r="AF766" i="1"/>
  <c r="D766" i="1"/>
  <c r="AF765" i="1"/>
  <c r="D765" i="1"/>
  <c r="AF764" i="1"/>
  <c r="D764" i="1"/>
  <c r="AF763" i="1"/>
  <c r="D763" i="1"/>
  <c r="AF762" i="1"/>
  <c r="D762" i="1"/>
  <c r="AF761" i="1"/>
  <c r="D761" i="1"/>
  <c r="AF760" i="1"/>
  <c r="D760" i="1"/>
  <c r="AF759" i="1"/>
  <c r="D759" i="1"/>
  <c r="AF758" i="1"/>
  <c r="D758" i="1"/>
  <c r="AF757" i="1"/>
  <c r="D757" i="1"/>
  <c r="AF756" i="1"/>
  <c r="D756" i="1"/>
  <c r="AF755" i="1"/>
  <c r="D755" i="1"/>
  <c r="AF754" i="1"/>
  <c r="D754" i="1"/>
  <c r="AF753" i="1"/>
  <c r="D753" i="1"/>
  <c r="AF752" i="1"/>
  <c r="D752" i="1"/>
  <c r="AF751" i="1"/>
  <c r="D751" i="1"/>
  <c r="AF750" i="1"/>
  <c r="D750" i="1"/>
  <c r="AF749" i="1"/>
  <c r="D749" i="1"/>
  <c r="AF748" i="1"/>
  <c r="D748" i="1"/>
  <c r="AF747" i="1"/>
  <c r="D747" i="1"/>
  <c r="AF746" i="1"/>
  <c r="D746" i="1"/>
  <c r="AF745" i="1"/>
  <c r="D745" i="1"/>
  <c r="AF744" i="1"/>
  <c r="D744" i="1"/>
  <c r="AF743" i="1"/>
  <c r="D743" i="1"/>
  <c r="AF742" i="1"/>
  <c r="D742" i="1"/>
  <c r="AF741" i="1"/>
  <c r="D741" i="1"/>
  <c r="AF740" i="1"/>
  <c r="D740" i="1"/>
  <c r="AF739" i="1"/>
  <c r="D739" i="1"/>
  <c r="AF738" i="1"/>
  <c r="D738" i="1"/>
  <c r="AF737" i="1"/>
  <c r="D737" i="1"/>
  <c r="AF736" i="1"/>
  <c r="D736" i="1"/>
  <c r="AF735" i="1"/>
  <c r="D735" i="1"/>
  <c r="AF734" i="1"/>
  <c r="D734" i="1"/>
  <c r="AF733" i="1"/>
  <c r="D733" i="1"/>
  <c r="AF732" i="1"/>
  <c r="D732" i="1"/>
  <c r="AF731" i="1"/>
  <c r="D731" i="1"/>
  <c r="AF730" i="1"/>
  <c r="D730" i="1"/>
  <c r="AF729" i="1"/>
  <c r="D729" i="1"/>
  <c r="AF728" i="1"/>
  <c r="D728" i="1"/>
  <c r="AF727" i="1"/>
  <c r="D727" i="1"/>
  <c r="AF726" i="1"/>
  <c r="D726" i="1"/>
  <c r="AF725" i="1"/>
  <c r="D725" i="1"/>
  <c r="AF724" i="1"/>
  <c r="D724" i="1"/>
  <c r="AF723" i="1"/>
  <c r="D723" i="1"/>
  <c r="AF722" i="1"/>
  <c r="D722" i="1"/>
  <c r="AF721" i="1"/>
  <c r="D721" i="1"/>
  <c r="AF720" i="1"/>
  <c r="D720" i="1"/>
  <c r="AF719" i="1"/>
  <c r="D719" i="1"/>
  <c r="AF718" i="1"/>
  <c r="D718" i="1"/>
  <c r="AF717" i="1"/>
  <c r="D717" i="1"/>
  <c r="AF716" i="1"/>
  <c r="D716" i="1"/>
  <c r="AF715" i="1"/>
  <c r="D715" i="1"/>
  <c r="AF714" i="1"/>
  <c r="D714" i="1"/>
  <c r="AF713" i="1"/>
  <c r="D713" i="1"/>
  <c r="AF712" i="1"/>
  <c r="D712" i="1"/>
  <c r="AF711" i="1"/>
  <c r="D711" i="1"/>
  <c r="AF710" i="1"/>
  <c r="D710" i="1"/>
  <c r="AF709" i="1"/>
  <c r="D709" i="1"/>
  <c r="AF708" i="1"/>
  <c r="D708" i="1"/>
  <c r="AF707" i="1"/>
  <c r="D707" i="1"/>
  <c r="AF706" i="1"/>
  <c r="D706" i="1"/>
  <c r="AF705" i="1"/>
  <c r="D705" i="1"/>
  <c r="AF704" i="1"/>
  <c r="D704" i="1"/>
  <c r="AF703" i="1"/>
  <c r="D703" i="1"/>
  <c r="AF702" i="1"/>
  <c r="D702" i="1"/>
  <c r="AF701" i="1"/>
  <c r="D701" i="1"/>
  <c r="AF700" i="1"/>
  <c r="D700" i="1"/>
  <c r="AF699" i="1"/>
  <c r="D699" i="1"/>
  <c r="AF698" i="1"/>
  <c r="D698" i="1"/>
  <c r="AF697" i="1"/>
  <c r="D697" i="1"/>
  <c r="AF696" i="1"/>
  <c r="D696" i="1"/>
  <c r="AF695" i="1"/>
  <c r="D695" i="1"/>
  <c r="AF694" i="1"/>
  <c r="D694" i="1"/>
  <c r="AF693" i="1"/>
  <c r="D693" i="1"/>
  <c r="AF692" i="1"/>
  <c r="D692" i="1"/>
  <c r="AF691" i="1"/>
  <c r="D691" i="1"/>
  <c r="AF690" i="1"/>
  <c r="D690" i="1"/>
  <c r="AF689" i="1"/>
  <c r="D689" i="1"/>
  <c r="AF688" i="1"/>
  <c r="D688" i="1"/>
  <c r="AF687" i="1"/>
  <c r="D687" i="1"/>
  <c r="AF686" i="1"/>
  <c r="D686" i="1"/>
  <c r="AF685" i="1"/>
  <c r="D685" i="1"/>
  <c r="AF684" i="1"/>
  <c r="D684" i="1"/>
  <c r="AF683" i="1"/>
  <c r="D683" i="1"/>
  <c r="AF682" i="1"/>
  <c r="D682" i="1"/>
  <c r="AF681" i="1"/>
  <c r="D681" i="1"/>
  <c r="AF680" i="1"/>
  <c r="D680" i="1"/>
  <c r="AF679" i="1"/>
  <c r="D679" i="1"/>
  <c r="AF678" i="1"/>
  <c r="D678" i="1"/>
  <c r="AF677" i="1"/>
  <c r="D677" i="1"/>
  <c r="AF676" i="1"/>
  <c r="D676" i="1"/>
  <c r="AF675" i="1"/>
  <c r="D675" i="1"/>
  <c r="AF674" i="1"/>
  <c r="D674" i="1"/>
  <c r="AF673" i="1"/>
  <c r="D673" i="1"/>
  <c r="AF672" i="1"/>
  <c r="D672" i="1"/>
  <c r="AF671" i="1"/>
  <c r="D671" i="1"/>
  <c r="AF670" i="1"/>
  <c r="D670" i="1"/>
  <c r="AF669" i="1"/>
  <c r="D669" i="1"/>
  <c r="AF668" i="1"/>
  <c r="D668" i="1"/>
  <c r="AF667" i="1"/>
  <c r="D667" i="1"/>
  <c r="AF666" i="1"/>
  <c r="D666" i="1"/>
  <c r="AF665" i="1"/>
  <c r="D665" i="1"/>
  <c r="AF664" i="1"/>
  <c r="D664" i="1"/>
  <c r="AF663" i="1"/>
  <c r="D663" i="1"/>
  <c r="AF662" i="1"/>
  <c r="D662" i="1"/>
  <c r="AF661" i="1"/>
  <c r="D661" i="1"/>
  <c r="AF660" i="1"/>
  <c r="D660" i="1"/>
  <c r="AF659" i="1"/>
  <c r="D659" i="1"/>
  <c r="AF658" i="1"/>
  <c r="D658" i="1"/>
  <c r="AF657" i="1"/>
  <c r="D657" i="1"/>
  <c r="AF656" i="1"/>
  <c r="D656" i="1"/>
  <c r="AF655" i="1"/>
  <c r="D655" i="1"/>
  <c r="AF654" i="1"/>
  <c r="D654" i="1"/>
  <c r="AF653" i="1"/>
  <c r="D653" i="1"/>
  <c r="AF652" i="1"/>
  <c r="D652" i="1"/>
  <c r="AF651" i="1"/>
  <c r="D651" i="1"/>
  <c r="AF650" i="1"/>
  <c r="D650" i="1"/>
  <c r="AF649" i="1"/>
  <c r="D649" i="1"/>
  <c r="AF648" i="1"/>
  <c r="D648" i="1"/>
  <c r="AF647" i="1"/>
  <c r="D647" i="1"/>
  <c r="AF646" i="1"/>
  <c r="D646" i="1"/>
  <c r="AF645" i="1"/>
  <c r="D645" i="1"/>
  <c r="AF644" i="1"/>
  <c r="D644" i="1"/>
  <c r="AF643" i="1"/>
  <c r="D643" i="1"/>
  <c r="AF642" i="1"/>
  <c r="D642" i="1"/>
  <c r="AF641" i="1"/>
  <c r="D641" i="1"/>
  <c r="AF640" i="1"/>
  <c r="D640" i="1"/>
  <c r="AF639" i="1"/>
  <c r="D639" i="1"/>
  <c r="AF638" i="1"/>
  <c r="D638" i="1"/>
  <c r="AF637" i="1"/>
  <c r="D637" i="1"/>
  <c r="AF636" i="1"/>
  <c r="D636" i="1"/>
  <c r="AF635" i="1"/>
  <c r="D635" i="1"/>
  <c r="AF634" i="1"/>
  <c r="D634" i="1"/>
  <c r="AF633" i="1"/>
  <c r="D633" i="1"/>
  <c r="AF632" i="1"/>
  <c r="D632" i="1"/>
  <c r="AF631" i="1"/>
  <c r="D631" i="1"/>
  <c r="AF630" i="1"/>
  <c r="D630" i="1"/>
  <c r="AF629" i="1"/>
  <c r="D629" i="1"/>
  <c r="AF628" i="1"/>
  <c r="D628" i="1"/>
  <c r="AF627" i="1"/>
  <c r="D627" i="1"/>
  <c r="AF626" i="1"/>
  <c r="D626" i="1"/>
  <c r="AF625" i="1"/>
  <c r="D625" i="1"/>
  <c r="AF624" i="1"/>
  <c r="D624" i="1"/>
  <c r="AF623" i="1"/>
  <c r="D623" i="1"/>
  <c r="AF622" i="1"/>
  <c r="D622" i="1"/>
  <c r="AF621" i="1"/>
  <c r="D621" i="1"/>
  <c r="AF620" i="1"/>
  <c r="D620" i="1"/>
  <c r="AF619" i="1"/>
  <c r="D619" i="1"/>
  <c r="AF618" i="1"/>
  <c r="D618" i="1"/>
  <c r="AF617" i="1"/>
  <c r="D617" i="1"/>
  <c r="AF616" i="1"/>
  <c r="D616" i="1"/>
  <c r="AF615" i="1"/>
  <c r="D615" i="1"/>
  <c r="AF614" i="1"/>
  <c r="D614" i="1"/>
  <c r="AF613" i="1"/>
  <c r="D613" i="1"/>
  <c r="AF612" i="1"/>
  <c r="D612" i="1"/>
  <c r="AF611" i="1"/>
  <c r="D611" i="1"/>
  <c r="AF610" i="1"/>
  <c r="D610" i="1"/>
  <c r="AF609" i="1"/>
  <c r="D609" i="1"/>
  <c r="AF608" i="1"/>
  <c r="D608" i="1"/>
  <c r="AF607" i="1"/>
  <c r="D607" i="1"/>
  <c r="AF606" i="1"/>
  <c r="D606" i="1"/>
  <c r="AF605" i="1"/>
  <c r="D605" i="1"/>
  <c r="AF604" i="1"/>
  <c r="D604" i="1"/>
  <c r="AF603" i="1"/>
  <c r="D603" i="1"/>
  <c r="AF602" i="1"/>
  <c r="D602" i="1"/>
  <c r="AF601" i="1"/>
  <c r="D601" i="1"/>
  <c r="AF600" i="1"/>
  <c r="D600" i="1"/>
  <c r="AF599" i="1"/>
  <c r="D599" i="1"/>
  <c r="AF598" i="1"/>
  <c r="D598" i="1"/>
  <c r="AF597" i="1"/>
  <c r="D597" i="1"/>
  <c r="AF596" i="1"/>
  <c r="D596" i="1"/>
  <c r="AF595" i="1"/>
  <c r="D595" i="1"/>
  <c r="AF594" i="1"/>
  <c r="D594" i="1"/>
  <c r="AF593" i="1"/>
  <c r="D593" i="1"/>
  <c r="AF592" i="1"/>
  <c r="D592" i="1"/>
  <c r="AF591" i="1"/>
  <c r="D591" i="1"/>
  <c r="AF590" i="1"/>
  <c r="D590" i="1"/>
  <c r="AF589" i="1"/>
  <c r="D589" i="1"/>
  <c r="AF588" i="1"/>
  <c r="D588" i="1"/>
  <c r="AF587" i="1"/>
  <c r="D587" i="1"/>
  <c r="AF586" i="1"/>
  <c r="D586" i="1"/>
  <c r="AF585" i="1"/>
  <c r="D585" i="1"/>
  <c r="AF584" i="1"/>
  <c r="D584" i="1"/>
  <c r="AF583" i="1"/>
  <c r="D583" i="1"/>
  <c r="AF582" i="1"/>
  <c r="D582" i="1"/>
  <c r="AF581" i="1"/>
  <c r="D581" i="1"/>
  <c r="AF580" i="1"/>
  <c r="D580" i="1"/>
  <c r="AF579" i="1"/>
  <c r="D579" i="1"/>
  <c r="AF578" i="1"/>
  <c r="D578" i="1"/>
  <c r="AF577" i="1"/>
  <c r="D577" i="1"/>
  <c r="AF576" i="1"/>
  <c r="D576" i="1"/>
  <c r="AF575" i="1"/>
  <c r="D575" i="1"/>
  <c r="AF574" i="1"/>
  <c r="D574" i="1"/>
  <c r="AF573" i="1"/>
  <c r="D573" i="1"/>
  <c r="AF572" i="1"/>
  <c r="D572" i="1"/>
  <c r="AF571" i="1"/>
  <c r="D571" i="1"/>
  <c r="AF570" i="1"/>
  <c r="D570" i="1"/>
  <c r="AF569" i="1"/>
  <c r="D569" i="1"/>
  <c r="AF568" i="1"/>
  <c r="D568" i="1"/>
  <c r="AF567" i="1"/>
  <c r="D567" i="1"/>
  <c r="AF566" i="1"/>
  <c r="D566" i="1"/>
  <c r="AF565" i="1"/>
  <c r="D565" i="1"/>
  <c r="AF564" i="1"/>
  <c r="D564" i="1"/>
  <c r="AF563" i="1"/>
  <c r="D563" i="1"/>
  <c r="AF562" i="1"/>
  <c r="D562" i="1"/>
  <c r="AF561" i="1"/>
  <c r="D561" i="1"/>
  <c r="AF560" i="1"/>
  <c r="D560" i="1"/>
  <c r="AF559" i="1"/>
  <c r="D559" i="1"/>
  <c r="AF558" i="1"/>
  <c r="D558" i="1"/>
  <c r="AF557" i="1"/>
  <c r="D557" i="1"/>
  <c r="AF556" i="1"/>
  <c r="D556" i="1"/>
  <c r="AF555" i="1"/>
  <c r="D555" i="1"/>
  <c r="AF554" i="1"/>
  <c r="D554" i="1"/>
  <c r="AF553" i="1"/>
  <c r="D553" i="1"/>
  <c r="AF552" i="1"/>
  <c r="D552" i="1"/>
  <c r="AF551" i="1"/>
  <c r="D551" i="1"/>
  <c r="AF550" i="1"/>
  <c r="D550" i="1"/>
  <c r="AF549" i="1"/>
  <c r="D549" i="1"/>
  <c r="AF548" i="1"/>
  <c r="D548" i="1"/>
  <c r="AF547" i="1"/>
  <c r="D547" i="1"/>
  <c r="AF546" i="1"/>
  <c r="D546" i="1"/>
  <c r="AF545" i="1"/>
  <c r="D545" i="1"/>
  <c r="AF544" i="1"/>
  <c r="D544" i="1"/>
  <c r="AF543" i="1"/>
  <c r="D543" i="1"/>
  <c r="AF542" i="1"/>
  <c r="D542" i="1"/>
  <c r="AF541" i="1"/>
  <c r="D541" i="1"/>
  <c r="AF540" i="1"/>
  <c r="D540" i="1"/>
  <c r="AF539" i="1"/>
  <c r="D539" i="1"/>
  <c r="AF538" i="1"/>
  <c r="D538" i="1"/>
  <c r="AF537" i="1"/>
  <c r="D537" i="1"/>
  <c r="AF536" i="1"/>
  <c r="D536" i="1"/>
  <c r="AF535" i="1"/>
  <c r="D535" i="1"/>
  <c r="AF534" i="1"/>
  <c r="D534" i="1"/>
  <c r="AF533" i="1"/>
  <c r="D533" i="1"/>
  <c r="AF532" i="1"/>
  <c r="D532" i="1"/>
  <c r="AF531" i="1"/>
  <c r="D531" i="1"/>
  <c r="AF530" i="1"/>
  <c r="D530" i="1"/>
  <c r="AF529" i="1"/>
  <c r="D529" i="1"/>
  <c r="AF528" i="1"/>
  <c r="D528" i="1"/>
  <c r="AF527" i="1"/>
  <c r="D527" i="1"/>
  <c r="AF526" i="1"/>
  <c r="D526" i="1"/>
  <c r="AF525" i="1"/>
  <c r="D525" i="1"/>
  <c r="AF524" i="1"/>
  <c r="D524" i="1"/>
  <c r="AF523" i="1"/>
  <c r="D523" i="1"/>
  <c r="AF522" i="1"/>
  <c r="D522" i="1"/>
  <c r="AF521" i="1"/>
  <c r="D521" i="1"/>
  <c r="AF520" i="1"/>
  <c r="D520" i="1"/>
  <c r="AF519" i="1"/>
  <c r="D519" i="1"/>
  <c r="AF518" i="1"/>
  <c r="D518" i="1"/>
  <c r="AF517" i="1"/>
  <c r="D517" i="1"/>
  <c r="AF516" i="1"/>
  <c r="D516" i="1"/>
  <c r="AF515" i="1"/>
  <c r="D515" i="1"/>
  <c r="AF514" i="1"/>
  <c r="D514" i="1"/>
  <c r="AF513" i="1"/>
  <c r="D513" i="1"/>
  <c r="AF512" i="1"/>
  <c r="D512" i="1"/>
  <c r="AF511" i="1"/>
  <c r="D511" i="1"/>
  <c r="AF510" i="1"/>
  <c r="D510" i="1"/>
  <c r="AF509" i="1"/>
  <c r="D509" i="1"/>
  <c r="AF508" i="1"/>
  <c r="D508" i="1"/>
  <c r="AF507" i="1"/>
  <c r="D507" i="1"/>
  <c r="AF506" i="1"/>
  <c r="D506" i="1"/>
  <c r="AF505" i="1"/>
  <c r="D505" i="1"/>
  <c r="AF504" i="1"/>
  <c r="D504" i="1"/>
  <c r="AF503" i="1"/>
  <c r="D503" i="1"/>
  <c r="AF502" i="1"/>
  <c r="D502" i="1"/>
  <c r="AF501" i="1"/>
  <c r="D501" i="1"/>
  <c r="AF500" i="1"/>
  <c r="D500" i="1"/>
  <c r="AF499" i="1"/>
  <c r="D499" i="1"/>
  <c r="AF498" i="1"/>
  <c r="D498" i="1"/>
  <c r="AF497" i="1"/>
  <c r="D497" i="1"/>
  <c r="AF496" i="1"/>
  <c r="D496" i="1"/>
  <c r="AF495" i="1"/>
  <c r="D495" i="1"/>
  <c r="AF494" i="1"/>
  <c r="D494" i="1"/>
  <c r="AF493" i="1"/>
  <c r="D493" i="1"/>
  <c r="AF492" i="1"/>
  <c r="D492" i="1"/>
  <c r="AF491" i="1"/>
  <c r="D491" i="1"/>
  <c r="AF490" i="1"/>
  <c r="D490" i="1"/>
  <c r="AF489" i="1"/>
  <c r="D489" i="1"/>
  <c r="AF488" i="1"/>
  <c r="D488" i="1"/>
  <c r="AF487" i="1"/>
  <c r="D487" i="1"/>
  <c r="AF486" i="1"/>
  <c r="D486" i="1"/>
  <c r="AF485" i="1"/>
  <c r="D485" i="1"/>
  <c r="AF484" i="1"/>
  <c r="D484" i="1"/>
  <c r="AF483" i="1"/>
  <c r="D483" i="1"/>
  <c r="AF482" i="1"/>
  <c r="D482" i="1"/>
  <c r="AF481" i="1"/>
  <c r="D481" i="1"/>
  <c r="AF480" i="1"/>
  <c r="D480" i="1"/>
  <c r="AF479" i="1"/>
  <c r="D479" i="1"/>
  <c r="AF478" i="1"/>
  <c r="D478" i="1"/>
  <c r="AF477" i="1"/>
  <c r="D477" i="1"/>
  <c r="AF476" i="1"/>
  <c r="D476" i="1"/>
  <c r="AF475" i="1"/>
  <c r="D475" i="1"/>
  <c r="AF474" i="1"/>
  <c r="D474" i="1"/>
  <c r="AF473" i="1"/>
  <c r="D473" i="1"/>
  <c r="AF472" i="1"/>
  <c r="D472" i="1"/>
  <c r="AF471" i="1"/>
  <c r="D471" i="1"/>
  <c r="AF470" i="1"/>
  <c r="D470" i="1"/>
  <c r="AF469" i="1"/>
  <c r="D469" i="1"/>
  <c r="AF468" i="1"/>
  <c r="D468" i="1"/>
  <c r="AF467" i="1"/>
  <c r="D467" i="1"/>
  <c r="AF466" i="1"/>
  <c r="D466" i="1"/>
  <c r="AF465" i="1"/>
  <c r="D465" i="1"/>
  <c r="AF464" i="1"/>
  <c r="D464" i="1"/>
  <c r="AF463" i="1"/>
  <c r="D463" i="1"/>
  <c r="AF462" i="1"/>
  <c r="D462" i="1"/>
  <c r="AF461" i="1"/>
  <c r="D461" i="1"/>
  <c r="AF460" i="1"/>
  <c r="D460" i="1"/>
  <c r="AF459" i="1"/>
  <c r="D459" i="1"/>
  <c r="AF458" i="1"/>
  <c r="D458" i="1"/>
  <c r="AF457" i="1"/>
  <c r="D457" i="1"/>
  <c r="AF456" i="1"/>
  <c r="D456" i="1"/>
  <c r="AF455" i="1"/>
  <c r="D455" i="1"/>
  <c r="AF454" i="1"/>
  <c r="D454" i="1"/>
  <c r="AF453" i="1"/>
  <c r="D453" i="1"/>
  <c r="AF452" i="1"/>
  <c r="D452" i="1"/>
  <c r="AF451" i="1"/>
  <c r="D451" i="1"/>
  <c r="AF450" i="1"/>
  <c r="D450" i="1"/>
  <c r="AF449" i="1"/>
  <c r="D449" i="1"/>
  <c r="AF448" i="1"/>
  <c r="D448" i="1"/>
  <c r="AF447" i="1"/>
  <c r="D447" i="1"/>
  <c r="AF446" i="1"/>
  <c r="D446" i="1"/>
  <c r="AF445" i="1"/>
  <c r="D445" i="1"/>
  <c r="AF444" i="1"/>
  <c r="D444" i="1"/>
  <c r="AF443" i="1"/>
  <c r="D443" i="1"/>
  <c r="AF442" i="1"/>
  <c r="D442" i="1"/>
  <c r="AF441" i="1"/>
  <c r="D441" i="1"/>
  <c r="AF440" i="1"/>
  <c r="D440" i="1"/>
  <c r="AF439" i="1"/>
  <c r="D439" i="1"/>
  <c r="AF438" i="1"/>
  <c r="D438" i="1"/>
  <c r="AF437" i="1"/>
  <c r="D437" i="1"/>
  <c r="AF436" i="1"/>
  <c r="D436" i="1"/>
  <c r="AF435" i="1"/>
  <c r="D435" i="1"/>
  <c r="AF434" i="1"/>
  <c r="D434" i="1"/>
  <c r="AF433" i="1"/>
  <c r="D433" i="1"/>
  <c r="AF432" i="1"/>
  <c r="D432" i="1"/>
  <c r="AF431" i="1"/>
  <c r="D431" i="1"/>
  <c r="AF430" i="1"/>
  <c r="D430" i="1"/>
  <c r="AF429" i="1"/>
  <c r="D429" i="1"/>
  <c r="AF428" i="1"/>
  <c r="D428" i="1"/>
  <c r="AF427" i="1"/>
  <c r="D427" i="1"/>
  <c r="AF426" i="1"/>
  <c r="D426" i="1"/>
  <c r="AF425" i="1"/>
  <c r="D425" i="1"/>
  <c r="AF424" i="1"/>
  <c r="D424" i="1"/>
  <c r="AF423" i="1"/>
  <c r="D423" i="1"/>
  <c r="AF422" i="1"/>
  <c r="D422" i="1"/>
  <c r="AF421" i="1"/>
  <c r="D421" i="1"/>
  <c r="AF420" i="1"/>
  <c r="D420" i="1"/>
  <c r="AF419" i="1"/>
  <c r="D419" i="1"/>
  <c r="AF418" i="1"/>
  <c r="D418" i="1"/>
  <c r="AF417" i="1"/>
  <c r="D417" i="1"/>
  <c r="AF416" i="1"/>
  <c r="D416" i="1"/>
  <c r="AF415" i="1"/>
  <c r="D415" i="1"/>
  <c r="AF414" i="1"/>
  <c r="D414" i="1"/>
  <c r="AF413" i="1"/>
  <c r="D413" i="1"/>
  <c r="AF412" i="1"/>
  <c r="D412" i="1"/>
  <c r="AF411" i="1"/>
  <c r="D411" i="1"/>
  <c r="AF410" i="1"/>
  <c r="D410" i="1"/>
  <c r="AF409" i="1"/>
  <c r="D409" i="1"/>
  <c r="AF408" i="1"/>
  <c r="D408" i="1"/>
  <c r="AF407" i="1"/>
  <c r="D407" i="1"/>
  <c r="AF406" i="1"/>
  <c r="D406" i="1"/>
  <c r="AF405" i="1"/>
  <c r="D405" i="1"/>
  <c r="AF404" i="1"/>
  <c r="D404" i="1"/>
  <c r="AF403" i="1"/>
  <c r="D403" i="1"/>
  <c r="AF402" i="1"/>
  <c r="D402" i="1"/>
  <c r="AF401" i="1"/>
  <c r="D401" i="1"/>
  <c r="AF400" i="1"/>
  <c r="D400" i="1"/>
  <c r="AF399" i="1"/>
  <c r="D399" i="1"/>
  <c r="AF398" i="1"/>
  <c r="D398" i="1"/>
  <c r="AF397" i="1"/>
  <c r="D397" i="1"/>
  <c r="AF396" i="1"/>
  <c r="D396" i="1"/>
  <c r="AF395" i="1"/>
  <c r="D395" i="1"/>
  <c r="AF394" i="1"/>
  <c r="D394" i="1"/>
  <c r="AF393" i="1"/>
  <c r="D393" i="1"/>
  <c r="AF392" i="1"/>
  <c r="D392" i="1"/>
  <c r="AF391" i="1"/>
  <c r="D391" i="1"/>
  <c r="AF390" i="1"/>
  <c r="D390" i="1"/>
  <c r="AF389" i="1"/>
  <c r="D389" i="1"/>
  <c r="AF388" i="1"/>
  <c r="D388" i="1"/>
  <c r="AF387" i="1"/>
  <c r="D387" i="1"/>
  <c r="AF386" i="1"/>
  <c r="D386" i="1"/>
  <c r="AF385" i="1"/>
  <c r="D385" i="1"/>
  <c r="AF384" i="1"/>
  <c r="D384" i="1"/>
  <c r="AF383" i="1"/>
  <c r="D383" i="1"/>
  <c r="AF382" i="1"/>
  <c r="D382" i="1"/>
  <c r="AF381" i="1"/>
  <c r="D381" i="1"/>
  <c r="AF380" i="1"/>
  <c r="D380" i="1"/>
  <c r="AF379" i="1"/>
  <c r="D379" i="1"/>
  <c r="AF378" i="1"/>
  <c r="D378" i="1"/>
  <c r="AF377" i="1"/>
  <c r="D377" i="1"/>
  <c r="AF376" i="1"/>
  <c r="D376" i="1"/>
  <c r="AF375" i="1"/>
  <c r="D375" i="1"/>
  <c r="AF374" i="1"/>
  <c r="D374" i="1"/>
  <c r="AF373" i="1"/>
  <c r="D373" i="1"/>
  <c r="AF372" i="1"/>
  <c r="D372" i="1"/>
  <c r="AF371" i="1"/>
  <c r="D371" i="1"/>
  <c r="AF370" i="1"/>
  <c r="D370" i="1"/>
  <c r="AF369" i="1"/>
  <c r="D369" i="1"/>
  <c r="AF368" i="1"/>
  <c r="D368" i="1"/>
  <c r="AF367" i="1"/>
  <c r="D367" i="1"/>
  <c r="AF366" i="1"/>
  <c r="D366" i="1"/>
  <c r="AF365" i="1"/>
  <c r="D365" i="1"/>
  <c r="AF364" i="1"/>
  <c r="D364" i="1"/>
  <c r="AF363" i="1"/>
  <c r="D363" i="1"/>
  <c r="AF362" i="1"/>
  <c r="D362" i="1"/>
  <c r="AF361" i="1"/>
  <c r="D361" i="1"/>
  <c r="AF360" i="1"/>
  <c r="D360" i="1"/>
  <c r="AF359" i="1"/>
  <c r="D359" i="1"/>
  <c r="AF358" i="1"/>
  <c r="D358" i="1"/>
  <c r="AF357" i="1"/>
  <c r="D357" i="1"/>
  <c r="AF356" i="1"/>
  <c r="D356" i="1"/>
  <c r="AF355" i="1"/>
  <c r="D355" i="1"/>
  <c r="AF354" i="1"/>
  <c r="D354" i="1"/>
  <c r="AF353" i="1"/>
  <c r="D353" i="1"/>
  <c r="AF352" i="1"/>
  <c r="D352" i="1"/>
  <c r="AF351" i="1"/>
  <c r="D351" i="1"/>
  <c r="AF350" i="1"/>
  <c r="D350" i="1"/>
  <c r="AF349" i="1"/>
  <c r="D349" i="1"/>
  <c r="AF348" i="1"/>
  <c r="D348" i="1"/>
  <c r="AF347" i="1"/>
  <c r="D347" i="1"/>
  <c r="AF346" i="1"/>
  <c r="D346" i="1"/>
  <c r="AF345" i="1"/>
  <c r="D345" i="1"/>
  <c r="AF344" i="1"/>
  <c r="D344" i="1"/>
  <c r="AF343" i="1"/>
  <c r="D343" i="1"/>
  <c r="AF342" i="1"/>
  <c r="D342" i="1"/>
  <c r="AF341" i="1"/>
  <c r="D341" i="1"/>
  <c r="AF340" i="1"/>
  <c r="D340" i="1"/>
  <c r="AF339" i="1"/>
  <c r="D339" i="1"/>
  <c r="AF338" i="1"/>
  <c r="D338" i="1"/>
  <c r="AF337" i="1"/>
  <c r="D337" i="1"/>
  <c r="AF336" i="1"/>
  <c r="D336" i="1"/>
  <c r="AF335" i="1"/>
  <c r="D335" i="1"/>
  <c r="AF334" i="1"/>
  <c r="D334" i="1"/>
  <c r="AF333" i="1"/>
  <c r="D333" i="1"/>
  <c r="AF332" i="1"/>
  <c r="D332" i="1"/>
  <c r="AF331" i="1"/>
  <c r="D331" i="1"/>
  <c r="AF330" i="1"/>
  <c r="D330" i="1"/>
  <c r="AF329" i="1"/>
  <c r="D329" i="1"/>
  <c r="AF328" i="1"/>
  <c r="D328" i="1"/>
  <c r="AF327" i="1"/>
  <c r="D327" i="1"/>
  <c r="AF326" i="1"/>
  <c r="D326" i="1"/>
  <c r="AF325" i="1"/>
  <c r="D325" i="1"/>
  <c r="AF324" i="1"/>
  <c r="D324" i="1"/>
  <c r="AF323" i="1"/>
  <c r="D323" i="1"/>
  <c r="AF322" i="1"/>
  <c r="D322" i="1"/>
  <c r="AF321" i="1"/>
  <c r="D321" i="1"/>
  <c r="AF320" i="1"/>
  <c r="D320" i="1"/>
  <c r="AF319" i="1"/>
  <c r="D319" i="1"/>
  <c r="AF318" i="1"/>
  <c r="D318" i="1"/>
  <c r="AF317" i="1"/>
  <c r="D317" i="1"/>
  <c r="AF316" i="1"/>
  <c r="D316" i="1"/>
  <c r="AF315" i="1"/>
  <c r="D315" i="1"/>
  <c r="AF314" i="1"/>
  <c r="D314" i="1"/>
  <c r="AF313" i="1"/>
  <c r="D313" i="1"/>
  <c r="AF312" i="1"/>
  <c r="D312" i="1"/>
  <c r="AF311" i="1"/>
  <c r="D311" i="1"/>
  <c r="AF310" i="1"/>
  <c r="D310" i="1"/>
  <c r="AF309" i="1"/>
  <c r="D309" i="1"/>
  <c r="AF308" i="1"/>
  <c r="D308" i="1"/>
  <c r="AF307" i="1"/>
  <c r="D307" i="1"/>
  <c r="AF306" i="1"/>
  <c r="D306" i="1"/>
  <c r="AF305" i="1"/>
  <c r="D305" i="1"/>
  <c r="AF304" i="1"/>
  <c r="D304" i="1"/>
  <c r="AF303" i="1"/>
  <c r="D303" i="1"/>
  <c r="AF302" i="1"/>
  <c r="D302" i="1"/>
  <c r="AF301" i="1"/>
  <c r="D301" i="1"/>
  <c r="AF300" i="1"/>
  <c r="D300" i="1"/>
  <c r="AF299" i="1"/>
  <c r="D299" i="1"/>
  <c r="AF298" i="1"/>
  <c r="D298" i="1"/>
  <c r="AF297" i="1"/>
  <c r="D297" i="1"/>
  <c r="AF296" i="1"/>
  <c r="D296" i="1"/>
  <c r="AF295" i="1"/>
  <c r="D295" i="1"/>
  <c r="AF294" i="1"/>
  <c r="D294" i="1"/>
  <c r="AF293" i="1"/>
  <c r="D293" i="1"/>
  <c r="AF292" i="1"/>
  <c r="D292" i="1"/>
  <c r="AF291" i="1"/>
  <c r="D291" i="1"/>
  <c r="AF290" i="1"/>
  <c r="D290" i="1"/>
  <c r="AF289" i="1"/>
  <c r="D289" i="1"/>
  <c r="AF288" i="1"/>
  <c r="D288" i="1"/>
  <c r="AF287" i="1"/>
  <c r="D287" i="1"/>
  <c r="AF286" i="1"/>
  <c r="D286" i="1"/>
  <c r="AF285" i="1"/>
  <c r="D285" i="1"/>
  <c r="AF284" i="1"/>
  <c r="D284" i="1"/>
  <c r="AF283" i="1"/>
  <c r="D283" i="1"/>
  <c r="AF282" i="1"/>
  <c r="D282" i="1"/>
  <c r="AF281" i="1"/>
  <c r="D281" i="1"/>
  <c r="AF280" i="1"/>
  <c r="D280" i="1"/>
  <c r="AF279" i="1"/>
  <c r="D279" i="1"/>
  <c r="AF278" i="1"/>
  <c r="D278" i="1"/>
  <c r="AF277" i="1"/>
  <c r="D277" i="1"/>
  <c r="AF276" i="1"/>
  <c r="D276" i="1"/>
  <c r="AF275" i="1"/>
  <c r="D275" i="1"/>
  <c r="AF274" i="1"/>
  <c r="D274" i="1"/>
  <c r="AF273" i="1"/>
  <c r="D273" i="1"/>
  <c r="AF272" i="1"/>
  <c r="D272" i="1"/>
  <c r="AF271" i="1"/>
  <c r="D271" i="1"/>
  <c r="AF270" i="1"/>
  <c r="D270" i="1"/>
  <c r="AF269" i="1"/>
  <c r="D269" i="1"/>
  <c r="AF268" i="1"/>
  <c r="D268" i="1"/>
  <c r="AF267" i="1"/>
  <c r="D267" i="1"/>
  <c r="AF266" i="1"/>
  <c r="D266" i="1"/>
  <c r="AF265" i="1"/>
  <c r="D265" i="1"/>
  <c r="AF264" i="1"/>
  <c r="D264" i="1"/>
  <c r="AF263" i="1"/>
  <c r="D263" i="1"/>
  <c r="AF262" i="1"/>
  <c r="D262" i="1"/>
  <c r="AF261" i="1"/>
  <c r="D261" i="1"/>
  <c r="AF260" i="1"/>
  <c r="D260" i="1"/>
  <c r="AF259" i="1"/>
  <c r="D259" i="1"/>
  <c r="AF258" i="1"/>
  <c r="D258" i="1"/>
  <c r="AF257" i="1"/>
  <c r="D257" i="1"/>
  <c r="AF256" i="1"/>
  <c r="D256" i="1"/>
  <c r="AF255" i="1"/>
  <c r="D255" i="1"/>
  <c r="AF254" i="1"/>
  <c r="D254" i="1"/>
  <c r="AF253" i="1"/>
  <c r="D253" i="1"/>
  <c r="AF252" i="1"/>
  <c r="D252" i="1"/>
  <c r="AF251" i="1"/>
  <c r="D251" i="1"/>
  <c r="AF250" i="1"/>
  <c r="D250" i="1"/>
  <c r="AF249" i="1"/>
  <c r="D249" i="1"/>
  <c r="AF248" i="1"/>
  <c r="D248" i="1"/>
  <c r="AF247" i="1"/>
  <c r="D247" i="1"/>
  <c r="AF246" i="1"/>
  <c r="D246" i="1"/>
  <c r="AF245" i="1"/>
  <c r="D245" i="1"/>
  <c r="AF244" i="1"/>
  <c r="D244" i="1"/>
  <c r="AF243" i="1"/>
  <c r="D243" i="1"/>
  <c r="AF242" i="1"/>
  <c r="D242" i="1"/>
  <c r="AF241" i="1"/>
  <c r="D241" i="1"/>
  <c r="AF240" i="1"/>
  <c r="D240" i="1"/>
  <c r="AF239" i="1"/>
  <c r="D239" i="1"/>
  <c r="AF238" i="1"/>
  <c r="D238" i="1"/>
  <c r="AF237" i="1"/>
  <c r="D237" i="1"/>
  <c r="AF236" i="1"/>
  <c r="D236" i="1"/>
  <c r="AF235" i="1"/>
  <c r="D235" i="1"/>
  <c r="AF234" i="1"/>
  <c r="D234" i="1"/>
  <c r="AF233" i="1"/>
  <c r="D233" i="1"/>
  <c r="AF232" i="1"/>
  <c r="D232" i="1"/>
  <c r="AF231" i="1"/>
  <c r="D231" i="1"/>
  <c r="AF230" i="1"/>
  <c r="D230" i="1"/>
  <c r="AF229" i="1"/>
  <c r="D229" i="1"/>
  <c r="AF228" i="1"/>
  <c r="D228" i="1"/>
  <c r="AF227" i="1"/>
  <c r="D227" i="1"/>
  <c r="AF226" i="1"/>
  <c r="D226" i="1"/>
  <c r="AF225" i="1"/>
  <c r="D225" i="1"/>
  <c r="AF224" i="1"/>
  <c r="D224" i="1"/>
  <c r="AF223" i="1"/>
  <c r="D223" i="1"/>
  <c r="AF222" i="1"/>
  <c r="D222" i="1"/>
  <c r="AF221" i="1"/>
  <c r="D221" i="1"/>
  <c r="AF220" i="1"/>
  <c r="D220" i="1"/>
  <c r="AF219" i="1"/>
  <c r="D219" i="1"/>
  <c r="AF218" i="1"/>
  <c r="D218" i="1"/>
  <c r="AF217" i="1"/>
  <c r="D217" i="1"/>
  <c r="AF216" i="1"/>
  <c r="D216" i="1"/>
  <c r="AF215" i="1"/>
  <c r="D215" i="1"/>
  <c r="AF214" i="1"/>
  <c r="D214" i="1"/>
  <c r="AF213" i="1"/>
  <c r="D213" i="1"/>
  <c r="AF212" i="1"/>
  <c r="D212" i="1"/>
  <c r="AF211" i="1"/>
  <c r="D211" i="1"/>
  <c r="AF210" i="1"/>
  <c r="D210" i="1"/>
  <c r="AF209" i="1"/>
  <c r="D209" i="1"/>
  <c r="AF208" i="1"/>
  <c r="D208" i="1"/>
  <c r="AF207" i="1"/>
  <c r="D207" i="1"/>
  <c r="AF206" i="1"/>
  <c r="D206" i="1"/>
  <c r="AF205" i="1"/>
  <c r="D205" i="1"/>
  <c r="AF204" i="1"/>
  <c r="D204" i="1"/>
  <c r="AF203" i="1"/>
  <c r="D203" i="1"/>
  <c r="AF202" i="1"/>
  <c r="D202" i="1"/>
  <c r="AF201" i="1"/>
  <c r="D201" i="1"/>
  <c r="AF200" i="1"/>
  <c r="D200" i="1"/>
  <c r="AF199" i="1"/>
  <c r="D199" i="1"/>
  <c r="AF198" i="1"/>
  <c r="D198" i="1"/>
  <c r="AF197" i="1"/>
  <c r="D197" i="1"/>
  <c r="AF196" i="1"/>
  <c r="D196" i="1"/>
  <c r="AF195" i="1"/>
  <c r="D195" i="1"/>
  <c r="AF194" i="1"/>
  <c r="D194" i="1"/>
  <c r="AF193" i="1"/>
  <c r="D193" i="1"/>
  <c r="AF192" i="1"/>
  <c r="D192" i="1"/>
  <c r="AF191" i="1"/>
  <c r="D191" i="1"/>
  <c r="AF190" i="1"/>
  <c r="D190" i="1"/>
  <c r="AF189" i="1"/>
  <c r="D189" i="1"/>
  <c r="AF188" i="1"/>
  <c r="D188" i="1"/>
  <c r="AF187" i="1"/>
  <c r="D187" i="1"/>
  <c r="AF186" i="1"/>
  <c r="D186" i="1"/>
  <c r="AF185" i="1"/>
  <c r="D185" i="1"/>
  <c r="AF184" i="1"/>
  <c r="D184" i="1"/>
  <c r="AF183" i="1"/>
  <c r="D183" i="1"/>
  <c r="AF182" i="1"/>
  <c r="D182" i="1"/>
  <c r="AF181" i="1"/>
  <c r="D181" i="1"/>
  <c r="AF180" i="1"/>
  <c r="D180" i="1"/>
  <c r="AF179" i="1"/>
  <c r="D179" i="1"/>
  <c r="AF178" i="1"/>
  <c r="D178" i="1"/>
  <c r="AF177" i="1"/>
  <c r="D177" i="1"/>
  <c r="AF176" i="1"/>
  <c r="D176" i="1"/>
  <c r="AF175" i="1"/>
  <c r="D175" i="1"/>
  <c r="AF174" i="1"/>
  <c r="D174" i="1"/>
  <c r="AF173" i="1"/>
  <c r="D173" i="1"/>
  <c r="AF172" i="1"/>
  <c r="D172" i="1"/>
  <c r="AF171" i="1"/>
  <c r="D171" i="1"/>
  <c r="AF170" i="1"/>
  <c r="D170" i="1"/>
  <c r="AF169" i="1"/>
  <c r="D169" i="1"/>
  <c r="AF168" i="1"/>
  <c r="D168" i="1"/>
  <c r="AF167" i="1"/>
  <c r="D167" i="1"/>
  <c r="AF166" i="1"/>
  <c r="D166" i="1"/>
  <c r="AF165" i="1"/>
  <c r="D165" i="1"/>
  <c r="AF164" i="1"/>
  <c r="D164" i="1"/>
  <c r="AF163" i="1"/>
  <c r="D163" i="1"/>
  <c r="AF162" i="1"/>
  <c r="D162" i="1"/>
  <c r="AF161" i="1"/>
  <c r="D161" i="1"/>
  <c r="AF160" i="1"/>
  <c r="D160" i="1"/>
  <c r="AF159" i="1"/>
  <c r="D159" i="1"/>
  <c r="AF158" i="1"/>
  <c r="D158" i="1"/>
  <c r="AF157" i="1"/>
  <c r="D157" i="1"/>
  <c r="AF156" i="1"/>
  <c r="D156" i="1"/>
  <c r="AF155" i="1"/>
  <c r="D155" i="1"/>
  <c r="AF154" i="1"/>
  <c r="D154" i="1"/>
  <c r="AF153" i="1"/>
  <c r="D153" i="1"/>
  <c r="AF152" i="1"/>
  <c r="D152" i="1"/>
  <c r="AF151" i="1"/>
  <c r="D151" i="1"/>
  <c r="AF150" i="1"/>
  <c r="D150" i="1"/>
  <c r="AF149" i="1"/>
  <c r="D149" i="1"/>
  <c r="AF148" i="1"/>
  <c r="D148" i="1"/>
  <c r="AF147" i="1"/>
  <c r="D147" i="1"/>
  <c r="AF146" i="1"/>
  <c r="D146" i="1"/>
  <c r="AF145" i="1"/>
  <c r="D145" i="1"/>
  <c r="AF144" i="1"/>
  <c r="D144" i="1"/>
  <c r="AF143" i="1"/>
  <c r="D143" i="1"/>
  <c r="AF142" i="1"/>
  <c r="D142" i="1"/>
  <c r="AF141" i="1"/>
  <c r="D141" i="1"/>
  <c r="AF140" i="1"/>
  <c r="D140" i="1"/>
  <c r="AF139" i="1"/>
  <c r="D139" i="1"/>
  <c r="AF138" i="1"/>
  <c r="D138" i="1"/>
  <c r="AF137" i="1"/>
  <c r="D137" i="1"/>
  <c r="AF136" i="1"/>
  <c r="D136" i="1"/>
  <c r="AF135" i="1"/>
  <c r="D135" i="1"/>
  <c r="AF134" i="1"/>
  <c r="D134" i="1"/>
  <c r="AF133" i="1"/>
  <c r="D133" i="1"/>
  <c r="AF132" i="1"/>
  <c r="D132" i="1"/>
  <c r="AF131" i="1"/>
  <c r="D131" i="1"/>
  <c r="AF130" i="1"/>
  <c r="D130" i="1"/>
  <c r="AF129" i="1"/>
  <c r="D129" i="1"/>
  <c r="AF128" i="1"/>
  <c r="D128" i="1"/>
  <c r="AF127" i="1"/>
  <c r="D127" i="1"/>
  <c r="AF126" i="1"/>
  <c r="D126" i="1"/>
  <c r="AF125" i="1"/>
  <c r="D125" i="1"/>
  <c r="AF124" i="1"/>
  <c r="D124" i="1"/>
  <c r="AF123" i="1"/>
  <c r="D123" i="1"/>
  <c r="AF122" i="1"/>
  <c r="D122" i="1"/>
  <c r="AF121" i="1"/>
  <c r="D121" i="1"/>
  <c r="AF120" i="1"/>
  <c r="D120" i="1"/>
  <c r="AF119" i="1"/>
  <c r="D119" i="1"/>
  <c r="AF118" i="1"/>
  <c r="D118" i="1"/>
  <c r="AF117" i="1"/>
  <c r="D117" i="1"/>
  <c r="AF116" i="1"/>
  <c r="D116" i="1"/>
  <c r="AF115" i="1"/>
  <c r="D115" i="1"/>
  <c r="AF114" i="1"/>
  <c r="D114" i="1"/>
  <c r="AF113" i="1"/>
  <c r="D113" i="1"/>
  <c r="AF112" i="1"/>
  <c r="D112" i="1"/>
  <c r="AF111" i="1"/>
  <c r="D111" i="1"/>
  <c r="AF110" i="1"/>
  <c r="D110" i="1"/>
  <c r="AF109" i="1"/>
  <c r="D109" i="1"/>
  <c r="AF108" i="1"/>
  <c r="D108" i="1"/>
  <c r="AF107" i="1"/>
  <c r="D107" i="1"/>
  <c r="AF106" i="1"/>
  <c r="D106" i="1"/>
  <c r="AF105" i="1"/>
  <c r="D105" i="1"/>
  <c r="AF104" i="1"/>
  <c r="D104" i="1"/>
  <c r="AF103" i="1"/>
  <c r="D103" i="1"/>
  <c r="AF102" i="1"/>
  <c r="D102" i="1"/>
  <c r="AF101" i="1"/>
  <c r="D101" i="1"/>
  <c r="AF100" i="1"/>
  <c r="D100" i="1"/>
  <c r="AF99" i="1"/>
  <c r="D99" i="1"/>
  <c r="AF98" i="1"/>
  <c r="D98" i="1"/>
  <c r="AF97" i="1"/>
  <c r="D97" i="1"/>
  <c r="AF96" i="1"/>
  <c r="D96" i="1"/>
  <c r="AF95" i="1"/>
  <c r="D95" i="1"/>
  <c r="AF94" i="1"/>
  <c r="D94" i="1"/>
  <c r="AF93" i="1"/>
  <c r="D93" i="1"/>
  <c r="AF92" i="1"/>
  <c r="D92" i="1"/>
  <c r="AF91" i="1"/>
  <c r="D91" i="1"/>
  <c r="AF90" i="1"/>
  <c r="D90" i="1"/>
  <c r="AF89" i="1"/>
  <c r="D89" i="1"/>
  <c r="AF88" i="1"/>
  <c r="D88" i="1"/>
  <c r="AF87" i="1"/>
  <c r="D87" i="1"/>
  <c r="AF86" i="1"/>
  <c r="D86" i="1"/>
  <c r="AF85" i="1"/>
  <c r="D85" i="1"/>
  <c r="AF84" i="1"/>
  <c r="D84" i="1"/>
  <c r="AF83" i="1"/>
  <c r="D83" i="1"/>
  <c r="AF82" i="1"/>
  <c r="D82" i="1"/>
  <c r="AF81" i="1"/>
  <c r="D81" i="1"/>
  <c r="AF80" i="1"/>
  <c r="D80" i="1"/>
  <c r="AF79" i="1"/>
  <c r="D79" i="1"/>
  <c r="AF78" i="1"/>
  <c r="D78" i="1"/>
  <c r="AF77" i="1"/>
  <c r="D77" i="1"/>
  <c r="AF76" i="1"/>
  <c r="D76" i="1"/>
  <c r="AF75" i="1"/>
  <c r="D75" i="1"/>
  <c r="AF74" i="1"/>
  <c r="D74" i="1"/>
  <c r="AF73" i="1"/>
  <c r="D73" i="1"/>
  <c r="AF72" i="1"/>
  <c r="D72" i="1"/>
  <c r="AF71" i="1"/>
  <c r="D71" i="1"/>
  <c r="AF70" i="1"/>
  <c r="D70" i="1"/>
  <c r="AF69" i="1"/>
  <c r="D69" i="1"/>
  <c r="AF68" i="1"/>
  <c r="D68" i="1"/>
  <c r="AF67" i="1"/>
  <c r="D67" i="1"/>
  <c r="AF66" i="1"/>
  <c r="D66" i="1"/>
  <c r="AF65" i="1"/>
  <c r="D65" i="1"/>
  <c r="AF64" i="1"/>
  <c r="D64" i="1"/>
  <c r="AF63" i="1"/>
  <c r="D63" i="1"/>
  <c r="AF62" i="1"/>
  <c r="D62" i="1"/>
  <c r="AF61" i="1"/>
  <c r="D61" i="1"/>
  <c r="AF60" i="1"/>
  <c r="D60" i="1"/>
  <c r="AF59" i="1"/>
  <c r="D59" i="1"/>
  <c r="AF58" i="1"/>
  <c r="D58" i="1"/>
  <c r="AF57" i="1"/>
  <c r="D57" i="1"/>
  <c r="AF56" i="1"/>
  <c r="D56" i="1"/>
  <c r="AF55" i="1"/>
  <c r="D55" i="1"/>
  <c r="AF54" i="1"/>
  <c r="D54" i="1"/>
  <c r="AF53" i="1"/>
  <c r="D53" i="1"/>
  <c r="AF52" i="1"/>
  <c r="D52" i="1"/>
  <c r="AF51" i="1"/>
  <c r="D51" i="1"/>
  <c r="AF50" i="1"/>
  <c r="D50" i="1"/>
  <c r="AF49" i="1"/>
  <c r="D49" i="1"/>
  <c r="AF48" i="1"/>
  <c r="D48" i="1"/>
  <c r="AF47" i="1"/>
  <c r="D47" i="1"/>
  <c r="AF46" i="1"/>
  <c r="D46" i="1"/>
  <c r="AF45" i="1"/>
  <c r="D45" i="1"/>
  <c r="AF44" i="1"/>
  <c r="D44" i="1"/>
  <c r="AF43" i="1"/>
  <c r="D43" i="1"/>
  <c r="AF42" i="1"/>
  <c r="D42" i="1"/>
  <c r="AF41" i="1"/>
  <c r="D41" i="1"/>
  <c r="AF40" i="1"/>
  <c r="D40" i="1"/>
  <c r="AF39" i="1"/>
  <c r="D39" i="1"/>
  <c r="AF38" i="1"/>
  <c r="D38" i="1"/>
  <c r="AF37" i="1"/>
  <c r="D37" i="1"/>
  <c r="AF36" i="1"/>
  <c r="D36" i="1"/>
  <c r="AF35" i="1"/>
  <c r="D35" i="1"/>
  <c r="AF34" i="1"/>
  <c r="D34" i="1"/>
  <c r="AF33" i="1"/>
  <c r="D33" i="1"/>
  <c r="AF32" i="1"/>
  <c r="D32" i="1"/>
  <c r="AF31" i="1"/>
  <c r="D31" i="1"/>
  <c r="AF30" i="1"/>
  <c r="D30" i="1"/>
  <c r="AF29" i="1"/>
  <c r="D29" i="1"/>
  <c r="AF28" i="1"/>
  <c r="D28" i="1"/>
  <c r="AF27" i="1"/>
  <c r="D27" i="1"/>
  <c r="AF26" i="1"/>
  <c r="D26" i="1"/>
  <c r="AF25" i="1"/>
  <c r="D25" i="1"/>
  <c r="AF24" i="1"/>
  <c r="D24" i="1"/>
  <c r="AF23" i="1"/>
  <c r="D23" i="1"/>
  <c r="AF22" i="1"/>
  <c r="D22" i="1"/>
  <c r="AF21" i="1"/>
  <c r="D21" i="1"/>
  <c r="AF20" i="1"/>
  <c r="D20" i="1"/>
  <c r="AF19" i="1"/>
  <c r="D19" i="1"/>
  <c r="AF18" i="1"/>
  <c r="D18" i="1"/>
  <c r="AF17" i="1"/>
  <c r="D17" i="1"/>
  <c r="AF16" i="1"/>
  <c r="D16" i="1"/>
  <c r="AF15" i="1"/>
  <c r="D15" i="1"/>
  <c r="AF14" i="1"/>
  <c r="D14" i="1"/>
  <c r="AF13" i="1"/>
  <c r="D13" i="1"/>
  <c r="AF12" i="1"/>
  <c r="D12" i="1"/>
  <c r="AF11" i="1"/>
  <c r="D11" i="1"/>
  <c r="AF10" i="1"/>
  <c r="D10" i="1"/>
  <c r="AF9" i="1"/>
  <c r="D9" i="1"/>
  <c r="AF8" i="1"/>
  <c r="D8" i="1"/>
  <c r="AF7" i="1"/>
  <c r="D7" i="1"/>
  <c r="AF6" i="1"/>
  <c r="D6" i="1"/>
  <c r="AF5" i="1"/>
  <c r="D5" i="1"/>
  <c r="AF4" i="1"/>
  <c r="D4" i="1"/>
  <c r="AF3" i="1"/>
  <c r="D3" i="1"/>
  <c r="AF2" i="1"/>
  <c r="D2" i="1"/>
</calcChain>
</file>

<file path=xl/sharedStrings.xml><?xml version="1.0" encoding="utf-8"?>
<sst xmlns="http://schemas.openxmlformats.org/spreadsheetml/2006/main" count="16832" uniqueCount="1420">
  <si>
    <t>TXN00001</t>
  </si>
  <si>
    <t>19:00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</si>
  <si>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</si>
  <si>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</si>
  <si>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</si>
  <si>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</si>
  <si>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</si>
  <si>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</si>
  <si>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</si>
  <si>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</si>
  <si>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</si>
  <si>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</si>
  <si>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</si>
  <si>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</si>
  <si>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</si>
  <si>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</si>
  <si>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</si>
  <si>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</si>
  <si>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</si>
  <si>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</si>
  <si>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</si>
  <si>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</si>
  <si>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07:15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</si>
  <si>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</si>
  <si>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</si>
  <si>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</si>
  <si>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</si>
  <si>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</si>
  <si>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</si>
  <si>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</si>
  <si>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</si>
  <si>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</si>
  <si>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</si>
  <si>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</si>
  <si>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</si>
  <si>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</si>
  <si>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</si>
  <si>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</si>
  <si>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</si>
  <si>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18:15</t>
  </si>
  <si>
    <t>Friday</t>
  </si>
  <si>
    <t>C024</t>
  </si>
  <si>
    <t>CUST0294</t>
  </si>
  <si>
    <t>Cash</t>
  </si>
  <si>
    <t>Loyalty Rewards</t>
  </si>
  <si>
    <t>TXN00004</t>
  </si>
  <si>
    <t>19:45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</si>
  <si>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</si>
  <si>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</si>
  <si>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</si>
  <si>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</si>
  <si>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</si>
  <si>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</si>
  <si>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</si>
  <si>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</si>
  <si>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</si>
  <si>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</si>
  <si>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</si>
  <si>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</si>
  <si>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16:00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</si>
  <si>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</si>
  <si>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</si>
  <si>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</si>
  <si>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</si>
  <si>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</si>
  <si>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</si>
  <si>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</si>
  <si>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</si>
  <si>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</si>
  <si>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</si>
  <si>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</si>
  <si>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10:45</t>
  </si>
  <si>
    <t>Mar</t>
  </si>
  <si>
    <t>Wednesday</t>
  </si>
  <si>
    <t>C008</t>
  </si>
  <si>
    <t>CUST0150</t>
  </si>
  <si>
    <t>Non-Member</t>
  </si>
  <si>
    <t>BP008</t>
  </si>
  <si>
    <t>Product 8</t>
  </si>
  <si>
    <t>TXN00007</t>
  </si>
  <si>
    <t>10:00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</si>
  <si>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</si>
  <si>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</si>
  <si>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</si>
  <si>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</si>
  <si>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</si>
  <si>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</si>
  <si>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</si>
  <si>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</si>
  <si>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13:15</t>
  </si>
  <si>
    <t>CUST0336</t>
  </si>
  <si>
    <t>Walk-in</t>
  </si>
  <si>
    <t>BP040</t>
  </si>
  <si>
    <t>Product 40</t>
  </si>
  <si>
    <t>Sides</t>
  </si>
  <si>
    <t>Cancelled</t>
  </si>
  <si>
    <t>TXN00009</t>
  </si>
  <si>
    <t>07:45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</si>
  <si>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</si>
  <si>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</si>
  <si>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</si>
  <si>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</si>
  <si>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</si>
  <si>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</si>
  <si>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</si>
  <si>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</si>
  <si>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</si>
  <si>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</si>
  <si>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</si>
  <si>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</si>
  <si>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</si>
  <si>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</si>
  <si>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TXN00011</t>
  </si>
  <si>
    <t>08:45</t>
  </si>
  <si>
    <t>C011</t>
  </si>
  <si>
    <t>CUST0180</t>
  </si>
  <si>
    <t>BP016</t>
  </si>
  <si>
    <t>Product 16</t>
  </si>
  <si>
    <t>Coffee</t>
  </si>
  <si>
    <t>Weekend Family Combo</t>
  </si>
  <si>
    <t>TXN00012</t>
  </si>
  <si>
    <t>09:30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</si>
  <si>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</si>
  <si>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</si>
  <si>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</si>
  <si>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</si>
  <si>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</si>
  <si>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</si>
  <si>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</si>
  <si>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</si>
  <si>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</si>
  <si>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Jun</t>
  </si>
  <si>
    <t>Saturday</t>
  </si>
  <si>
    <t>CUST0151</t>
  </si>
  <si>
    <t>BP030</t>
  </si>
  <si>
    <t>Product 30</t>
  </si>
  <si>
    <t>Beverage</t>
  </si>
  <si>
    <t>TXN00014</t>
  </si>
  <si>
    <t>C021</t>
  </si>
  <si>
    <t>CUST0015</t>
  </si>
  <si>
    <t>Divya</t>
  </si>
  <si>
    <t>BP006</t>
  </si>
  <si>
    <t>Product 6</t>
  </si>
  <si>
    <t>TXN00015</t>
  </si>
  <si>
    <t>20:00</t>
  </si>
  <si>
    <t>Feb</t>
  </si>
  <si>
    <t>C025</t>
  </si>
  <si>
    <t>BP045</t>
  </si>
  <si>
    <t>Product 45</t>
  </si>
  <si>
    <t>TXN00016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</si>
  <si>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</si>
  <si>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</si>
  <si>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</si>
  <si>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</si>
  <si>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</si>
  <si>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</si>
  <si>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</si>
  <si>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</si>
  <si>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08:00</t>
  </si>
  <si>
    <t>OUT009</t>
  </si>
  <si>
    <t>BrewBean Madurai</t>
  </si>
  <si>
    <t>Madurai</t>
  </si>
  <si>
    <t>Meena</t>
  </si>
  <si>
    <t>TXN00018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</si>
  <si>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</si>
  <si>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</si>
  <si>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</si>
  <si>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</si>
  <si>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</si>
  <si>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</si>
  <si>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</si>
  <si>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</si>
  <si>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</si>
  <si>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</si>
  <si>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17:15</t>
  </si>
  <si>
    <t>CUST0258</t>
  </si>
  <si>
    <t>BP041</t>
  </si>
  <si>
    <t>Product 41</t>
  </si>
  <si>
    <t>Pastry</t>
  </si>
  <si>
    <t>Card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</si>
  <si>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</si>
  <si>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</si>
  <si>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</si>
  <si>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</si>
  <si>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</si>
  <si>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</si>
  <si>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</si>
  <si>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</si>
  <si>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</si>
  <si>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09:15</t>
  </si>
  <si>
    <t>TXN00022</t>
  </si>
  <si>
    <t>19:30</t>
  </si>
  <si>
    <t>CUST0349</t>
  </si>
  <si>
    <t>BP034</t>
  </si>
  <si>
    <t>Product 34</t>
  </si>
  <si>
    <t>TXN00023</t>
  </si>
  <si>
    <t>C016</t>
  </si>
  <si>
    <t>CUST0121</t>
  </si>
  <si>
    <t>TXN00024</t>
  </si>
  <si>
    <t>10:15</t>
  </si>
  <si>
    <t>CUST0001</t>
  </si>
  <si>
    <t>TXN00025</t>
  </si>
  <si>
    <t>11:30</t>
  </si>
  <si>
    <t>CUST0191</t>
  </si>
  <si>
    <t>BP046</t>
  </si>
  <si>
    <t>Product 46</t>
  </si>
  <si>
    <t>TXN00026</t>
  </si>
  <si>
    <t>20:30</t>
  </si>
  <si>
    <t>CUST0048</t>
  </si>
  <si>
    <t>TXN00027</t>
  </si>
  <si>
    <t>CUST0125</t>
  </si>
  <si>
    <t>BP050</t>
  </si>
  <si>
    <t>Product 50</t>
  </si>
  <si>
    <t>TXN00028</t>
  </si>
  <si>
    <t>07:30</t>
  </si>
  <si>
    <t>CUST0340</t>
  </si>
  <si>
    <t>BP013</t>
  </si>
  <si>
    <t>Product 13</t>
  </si>
  <si>
    <t>Cookies</t>
  </si>
  <si>
    <t>TXN00029</t>
  </si>
  <si>
    <t>CUST0201</t>
  </si>
  <si>
    <t>TXN00030</t>
  </si>
  <si>
    <t>CUST0119</t>
  </si>
  <si>
    <t>TXN00031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</si>
  <si>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</si>
  <si>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</si>
  <si>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</si>
  <si>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</si>
  <si>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</si>
  <si>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</si>
  <si>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</si>
  <si>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</si>
  <si>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</si>
  <si>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18:00</t>
  </si>
  <si>
    <t>CUST0243</t>
  </si>
  <si>
    <t>BP024</t>
  </si>
  <si>
    <t>Product 24</t>
  </si>
  <si>
    <t>Wrap</t>
  </si>
  <si>
    <t>TXN00034</t>
  </si>
  <si>
    <t>CUST0206</t>
  </si>
  <si>
    <t>BP027</t>
  </si>
  <si>
    <t>Product 27</t>
  </si>
  <si>
    <t>Cake</t>
  </si>
  <si>
    <t>TXN00035</t>
  </si>
  <si>
    <t>20:45</t>
  </si>
  <si>
    <t>C019</t>
  </si>
  <si>
    <t>CUST0168</t>
  </si>
  <si>
    <t>TXN00036</t>
  </si>
  <si>
    <t>CUST0181</t>
  </si>
  <si>
    <t>TXN00037</t>
  </si>
  <si>
    <t>13:30</t>
  </si>
  <si>
    <t>CUST0272</t>
  </si>
  <si>
    <t>BP026</t>
  </si>
  <si>
    <t>Product 26</t>
  </si>
  <si>
    <t>TXN00038</t>
  </si>
  <si>
    <t>CUST0139</t>
  </si>
  <si>
    <t>BP031</t>
  </si>
  <si>
    <t>Product 31</t>
  </si>
  <si>
    <t>TXN00039</t>
  </si>
  <si>
    <t>18:45</t>
  </si>
  <si>
    <t>CUST0036</t>
  </si>
  <si>
    <t>Mohan</t>
  </si>
  <si>
    <t>BP043</t>
  </si>
  <si>
    <t>Product 43</t>
  </si>
  <si>
    <t>TXN00040</t>
  </si>
  <si>
    <t>07:00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</si>
  <si>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</si>
  <si>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</si>
  <si>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</si>
  <si>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</si>
  <si>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</si>
  <si>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</si>
  <si>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</si>
  <si>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</si>
  <si>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</si>
  <si>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TXN00043</t>
  </si>
  <si>
    <t>13:45</t>
  </si>
  <si>
    <t>CUST0037</t>
  </si>
  <si>
    <t>TXN00044</t>
  </si>
  <si>
    <t>CUST0346</t>
  </si>
  <si>
    <t>BP028</t>
  </si>
  <si>
    <t>Product 28</t>
  </si>
  <si>
    <t>TXN00045</t>
  </si>
  <si>
    <t>14:15</t>
  </si>
  <si>
    <t>CUST0246</t>
  </si>
  <si>
    <t>TXN00046</t>
  </si>
  <si>
    <t>CUST0197</t>
  </si>
  <si>
    <t>TXN00047</t>
  </si>
  <si>
    <t>CUST0057</t>
  </si>
  <si>
    <t>TXN00048</t>
  </si>
  <si>
    <t>CUST0085</t>
  </si>
  <si>
    <t>BP012</t>
  </si>
  <si>
    <t>Product 12</t>
  </si>
  <si>
    <t>TXN00049</t>
  </si>
  <si>
    <t>CUST0329</t>
  </si>
  <si>
    <t>BP017</t>
  </si>
  <si>
    <t>Product 17</t>
  </si>
  <si>
    <t>TXN00050</t>
  </si>
  <si>
    <t>11:00</t>
  </si>
  <si>
    <t>CUST0269</t>
  </si>
  <si>
    <t>BP018</t>
  </si>
  <si>
    <t>Product 18</t>
  </si>
  <si>
    <t>TXN00051</t>
  </si>
  <si>
    <t>12:45</t>
  </si>
  <si>
    <t>CUST0241</t>
  </si>
  <si>
    <t>TXN00052</t>
  </si>
  <si>
    <t>C009</t>
  </si>
  <si>
    <t>CUST0308</t>
  </si>
  <si>
    <t>BP048</t>
  </si>
  <si>
    <t>Product 48</t>
  </si>
  <si>
    <t>TXN00053</t>
  </si>
  <si>
    <t>C012</t>
  </si>
  <si>
    <t>CUST0018</t>
  </si>
  <si>
    <t>BP020</t>
  </si>
  <si>
    <t>Product 20</t>
  </si>
  <si>
    <t>TXN00054</t>
  </si>
  <si>
    <t>CUST0178</t>
  </si>
  <si>
    <t>TXN00055</t>
  </si>
  <si>
    <t>C013</t>
  </si>
  <si>
    <t>CUST0185</t>
  </si>
  <si>
    <t>TXN00056</t>
  </si>
  <si>
    <t>TXN00057</t>
  </si>
  <si>
    <t>10:30</t>
  </si>
  <si>
    <t>C003</t>
  </si>
  <si>
    <t>CUST0295</t>
  </si>
  <si>
    <t>TXN00058</t>
  </si>
  <si>
    <t>CUST0342</t>
  </si>
  <si>
    <t>BP015</t>
  </si>
  <si>
    <t>Product 15</t>
  </si>
  <si>
    <t>TXN00059</t>
  </si>
  <si>
    <t>14:30</t>
  </si>
  <si>
    <t>CUST0217</t>
  </si>
  <si>
    <t>TXN00060</t>
  </si>
  <si>
    <t>CUST0296</t>
  </si>
  <si>
    <t>TXN00061</t>
  </si>
  <si>
    <t>CUST0242</t>
  </si>
  <si>
    <t>TXN00062</t>
  </si>
  <si>
    <t>17:30</t>
  </si>
  <si>
    <t>CUST0146</t>
  </si>
  <si>
    <t>TXN00063</t>
  </si>
  <si>
    <t>17:00</t>
  </si>
  <si>
    <t>CUST0124</t>
  </si>
  <si>
    <t>TXN00064</t>
  </si>
  <si>
    <t>CUST0029</t>
  </si>
  <si>
    <t>TXN00065</t>
  </si>
  <si>
    <t>18:30</t>
  </si>
  <si>
    <t>C018</t>
  </si>
  <si>
    <t>CUST0058</t>
  </si>
  <si>
    <t>TXN00066</t>
  </si>
  <si>
    <t>21:15</t>
  </si>
  <si>
    <t>TXN00067</t>
  </si>
  <si>
    <t>09:00</t>
  </si>
  <si>
    <t>C007</t>
  </si>
  <si>
    <t>CUST0165</t>
  </si>
  <si>
    <t>TXN00068</t>
  </si>
  <si>
    <t>CUST0220</t>
  </si>
  <si>
    <t>TXN00069</t>
  </si>
  <si>
    <t>CUST0158</t>
  </si>
  <si>
    <t>BP007</t>
  </si>
  <si>
    <t>Product 7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</si>
  <si>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</si>
  <si>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</si>
  <si>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</si>
  <si>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</si>
  <si>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</si>
  <si>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</si>
  <si>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</si>
  <si>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</si>
  <si>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</si>
  <si>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</si>
  <si>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</si>
  <si>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</si>
  <si>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TXN00074</t>
  </si>
  <si>
    <t>09:45</t>
  </si>
  <si>
    <t>BP032</t>
  </si>
  <si>
    <t>Product 32</t>
  </si>
  <si>
    <t>TXN00075</t>
  </si>
  <si>
    <t>21:45</t>
  </si>
  <si>
    <t>CUST0264</t>
  </si>
  <si>
    <t>TXN00076</t>
  </si>
  <si>
    <t>CUST0227</t>
  </si>
  <si>
    <t>TXN00077</t>
  </si>
  <si>
    <t>CUST0082</t>
  </si>
  <si>
    <t>TXN00078</t>
  </si>
  <si>
    <t>15:00</t>
  </si>
  <si>
    <t>TXN00079</t>
  </si>
  <si>
    <t>CUST0067</t>
  </si>
  <si>
    <t>TXN00080</t>
  </si>
  <si>
    <t>19:15</t>
  </si>
  <si>
    <t>TXN00081</t>
  </si>
  <si>
    <t>BP019</t>
  </si>
  <si>
    <t>Product 19</t>
  </si>
  <si>
    <t>TXN00082</t>
  </si>
  <si>
    <t>TXN00083</t>
  </si>
  <si>
    <t>CUST0081</t>
  </si>
  <si>
    <t>TXN00084</t>
  </si>
  <si>
    <t>16:45</t>
  </si>
  <si>
    <t>CUST0304</t>
  </si>
  <si>
    <t>TXN00085</t>
  </si>
  <si>
    <t>20:15</t>
  </si>
  <si>
    <t>CUST0270</t>
  </si>
  <si>
    <t>TXN00086</t>
  </si>
  <si>
    <t>CUST0062</t>
  </si>
  <si>
    <t>TXN00087</t>
  </si>
  <si>
    <t>TXN00088</t>
  </si>
  <si>
    <t>CUST0260</t>
  </si>
  <si>
    <t>TXN00089</t>
  </si>
  <si>
    <t>08:30</t>
  </si>
  <si>
    <t>CUST0044</t>
  </si>
  <si>
    <t>BP009</t>
  </si>
  <si>
    <t>Product 9</t>
  </si>
  <si>
    <t>TXN00090</t>
  </si>
  <si>
    <t>CUST0144</t>
  </si>
  <si>
    <t>TXN00091</t>
  </si>
  <si>
    <t>17:45</t>
  </si>
  <si>
    <t>CUST0093</t>
  </si>
  <si>
    <t>TXN00092</t>
  </si>
  <si>
    <t>16:30</t>
  </si>
  <si>
    <t>CUST0030</t>
  </si>
  <si>
    <t>TXN00093</t>
  </si>
  <si>
    <t>21:00</t>
  </si>
  <si>
    <t>CUST0147</t>
  </si>
  <si>
    <t>TXN00094</t>
  </si>
  <si>
    <t>CUST0257</t>
  </si>
  <si>
    <t>TXN00095</t>
  </si>
  <si>
    <t>15:15</t>
  </si>
  <si>
    <t>CUST0249</t>
  </si>
  <si>
    <t>TXN00096</t>
  </si>
  <si>
    <t>CUST0341</t>
  </si>
  <si>
    <t>TXN00097</t>
  </si>
  <si>
    <t>CUST0188</t>
  </si>
  <si>
    <t>BP049</t>
  </si>
  <si>
    <t>Product 49</t>
  </si>
  <si>
    <t>TXN00098</t>
  </si>
  <si>
    <t>TXN00099</t>
  </si>
  <si>
    <t>13:00</t>
  </si>
  <si>
    <t>BP011</t>
  </si>
  <si>
    <t>Product 11</t>
  </si>
  <si>
    <t>TXN00100</t>
  </si>
  <si>
    <t>CUST0209</t>
  </si>
  <si>
    <t>TXN00101</t>
  </si>
  <si>
    <t>CUST0120</t>
  </si>
  <si>
    <t>TXN00102</t>
  </si>
  <si>
    <t>CUST0235</t>
  </si>
  <si>
    <t>TXN00103</t>
  </si>
  <si>
    <t>TXN00104</t>
  </si>
  <si>
    <t>CUST0116</t>
  </si>
  <si>
    <t>TXN00105</t>
  </si>
  <si>
    <t>CUST0177</t>
  </si>
  <si>
    <t>TXN00106</t>
  </si>
  <si>
    <t>CUST0318</t>
  </si>
  <si>
    <t>TXN00107</t>
  </si>
  <si>
    <t>CUST0334</t>
  </si>
  <si>
    <t>TXN00108</t>
  </si>
  <si>
    <t>CUST0175</t>
  </si>
  <si>
    <t>TXN00109</t>
  </si>
  <si>
    <t>CUST0032</t>
  </si>
  <si>
    <t>TXN00110</t>
  </si>
  <si>
    <t>CUST0233</t>
  </si>
  <si>
    <t>TXN00111</t>
  </si>
  <si>
    <t>TXN00112</t>
  </si>
  <si>
    <t>CUST0011</t>
  </si>
  <si>
    <t>TXN00113</t>
  </si>
  <si>
    <t>12:15</t>
  </si>
  <si>
    <t>TXN00114</t>
  </si>
  <si>
    <t>CUST0195</t>
  </si>
  <si>
    <t>TXN00115</t>
  </si>
  <si>
    <t>TXN00116</t>
  </si>
  <si>
    <t>CUST0134</t>
  </si>
  <si>
    <t>TXN00117</t>
  </si>
  <si>
    <t>TXN00118</t>
  </si>
  <si>
    <t>TXN00119</t>
  </si>
  <si>
    <t>CUST0162</t>
  </si>
  <si>
    <t>TXN00120</t>
  </si>
  <si>
    <t>12:00</t>
  </si>
  <si>
    <t>CUST0293</t>
  </si>
  <si>
    <t>TXN00121</t>
  </si>
  <si>
    <t>CUST0204</t>
  </si>
  <si>
    <t>TXN00122</t>
  </si>
  <si>
    <t>CUST0157</t>
  </si>
  <si>
    <t>TXN00123</t>
  </si>
  <si>
    <t>CUST0250</t>
  </si>
  <si>
    <t>TXN00124</t>
  </si>
  <si>
    <t>CUST0069</t>
  </si>
  <si>
    <t>TXN00125</t>
  </si>
  <si>
    <t>CUST0314</t>
  </si>
  <si>
    <t>TXN00126</t>
  </si>
  <si>
    <t>CUST0287</t>
  </si>
  <si>
    <t>TXN00127</t>
  </si>
  <si>
    <t>TXN00128</t>
  </si>
  <si>
    <t>TXN00129</t>
  </si>
  <si>
    <t>CUST0105</t>
  </si>
  <si>
    <t>TXN00130</t>
  </si>
  <si>
    <t>TXN00131</t>
  </si>
  <si>
    <t>CUST0299</t>
  </si>
  <si>
    <t>TXN00132</t>
  </si>
  <si>
    <t>TXN00133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</si>
  <si>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</si>
  <si>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</si>
  <si>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</si>
  <si>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</si>
  <si>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</si>
  <si>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</si>
  <si>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</si>
  <si>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</si>
  <si>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</si>
  <si>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</si>
  <si>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</si>
  <si>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</si>
  <si>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</si>
  <si>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</si>
  <si>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TXN00141</t>
  </si>
  <si>
    <t>CUST0330</t>
  </si>
  <si>
    <t>TXN00142</t>
  </si>
  <si>
    <t>CUST0172</t>
  </si>
  <si>
    <t>TXN00143</t>
  </si>
  <si>
    <t>16:15</t>
  </si>
  <si>
    <t>CUST0130</t>
  </si>
  <si>
    <t>BP042</t>
  </si>
  <si>
    <t>Product 42</t>
  </si>
  <si>
    <t>TXN00144</t>
  </si>
  <si>
    <t>CUST0261</t>
  </si>
  <si>
    <t>TXN00145</t>
  </si>
  <si>
    <t>CUST0343</t>
  </si>
  <si>
    <t>TXN00146</t>
  </si>
  <si>
    <t>TXN00147</t>
  </si>
  <si>
    <t>CUST0031</t>
  </si>
  <si>
    <t>TXN00148</t>
  </si>
  <si>
    <t>CUST0268</t>
  </si>
  <si>
    <t>TXN00149</t>
  </si>
  <si>
    <t>CUST0205</t>
  </si>
  <si>
    <t>TXN00150</t>
  </si>
  <si>
    <t>CUST0019</t>
  </si>
  <si>
    <t>TXN00151</t>
  </si>
  <si>
    <t>TXN00152</t>
  </si>
  <si>
    <t>CUST0290</t>
  </si>
  <si>
    <t>TXN00153</t>
  </si>
  <si>
    <t>08:15</t>
  </si>
  <si>
    <t>CUST0132</t>
  </si>
  <si>
    <t>TXN00154</t>
  </si>
  <si>
    <t>TXN00155</t>
  </si>
  <si>
    <t>CUST0327</t>
  </si>
  <si>
    <t>TXN00156</t>
  </si>
  <si>
    <t>15:45</t>
  </si>
  <si>
    <t>CUST0169</t>
  </si>
  <si>
    <t>TXN00157</t>
  </si>
  <si>
    <t>21:30</t>
  </si>
  <si>
    <t>CUST0229</t>
  </si>
  <si>
    <t>TXN00158</t>
  </si>
  <si>
    <t>CUST0248</t>
  </si>
  <si>
    <t>TXN00159</t>
  </si>
  <si>
    <t>CUST0075</t>
  </si>
  <si>
    <t>TXN00160</t>
  </si>
  <si>
    <t>TXN00161</t>
  </si>
  <si>
    <t>11:45</t>
  </si>
  <si>
    <t>TXN00162</t>
  </si>
  <si>
    <t>CUST0276</t>
  </si>
  <si>
    <t>TXN00163</t>
  </si>
  <si>
    <t>TXN00164</t>
  </si>
  <si>
    <t>CUST0040</t>
  </si>
  <si>
    <t>TXN00165</t>
  </si>
  <si>
    <t>TXN00166</t>
  </si>
  <si>
    <t>TXN00167</t>
  </si>
  <si>
    <t>CUST0026</t>
  </si>
  <si>
    <t>TXN00168</t>
  </si>
  <si>
    <t>CUST0199</t>
  </si>
  <si>
    <t>TXN00169</t>
  </si>
  <si>
    <t>TXN00170</t>
  </si>
  <si>
    <t>11:15</t>
  </si>
  <si>
    <t>CUST0056</t>
  </si>
  <si>
    <t>TXN00171</t>
  </si>
  <si>
    <t>CUST0286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</si>
  <si>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</si>
  <si>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</si>
  <si>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</si>
  <si>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</si>
  <si>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</si>
  <si>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</si>
  <si>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</si>
  <si>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</si>
  <si>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CUST0043</t>
  </si>
  <si>
    <t>TXN00180</t>
  </si>
  <si>
    <t>TXN00181</t>
  </si>
  <si>
    <t>CUST0033</t>
  </si>
  <si>
    <t>TXN00182</t>
  </si>
  <si>
    <t>CUST0305</t>
  </si>
  <si>
    <t>TXN00183</t>
  </si>
  <si>
    <t>CUST0021</t>
  </si>
  <si>
    <t>TXN00184</t>
  </si>
  <si>
    <t>CUST0059</t>
  </si>
  <si>
    <t>TXN00185</t>
  </si>
  <si>
    <t>CUST0213</t>
  </si>
  <si>
    <t>TXN00186</t>
  </si>
  <si>
    <t>CUST0113</t>
  </si>
  <si>
    <t>TXN00187</t>
  </si>
  <si>
    <t>TXN00188</t>
  </si>
  <si>
    <t>TXN00189</t>
  </si>
  <si>
    <t>CUST0328</t>
  </si>
  <si>
    <t>TXN00190</t>
  </si>
  <si>
    <t>TXN00191</t>
  </si>
  <si>
    <t>CUST0223</t>
  </si>
  <si>
    <t>TXN00192</t>
  </si>
  <si>
    <t>TXN00193</t>
  </si>
  <si>
    <t>CUST0277</t>
  </si>
  <si>
    <t>TXN00194</t>
  </si>
  <si>
    <t>BP039</t>
  </si>
  <si>
    <t>Product 39</t>
  </si>
  <si>
    <t>TXN00195</t>
  </si>
  <si>
    <t>CUST0076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</si>
  <si>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</si>
  <si>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</si>
  <si>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</si>
  <si>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</si>
  <si>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</si>
  <si>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</si>
  <si>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</si>
  <si>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</si>
  <si>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</si>
  <si>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</si>
  <si>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</si>
  <si>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</si>
  <si>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</si>
  <si>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</si>
  <si>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</si>
  <si>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</si>
  <si>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</si>
  <si>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</si>
  <si>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</si>
  <si>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</si>
  <si>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</si>
  <si>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</si>
  <si>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</si>
  <si>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</si>
  <si>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TXN00212</t>
  </si>
  <si>
    <t>CUST0224</t>
  </si>
  <si>
    <t>TXN00213</t>
  </si>
  <si>
    <t>TXN00214</t>
  </si>
  <si>
    <t>TXN00215</t>
  </si>
  <si>
    <t>TXN00216</t>
  </si>
  <si>
    <t>TXN00217</t>
  </si>
  <si>
    <t>CUST0189</t>
  </si>
  <si>
    <t>TXN00218</t>
  </si>
  <si>
    <t>TXN00219</t>
  </si>
  <si>
    <t>CUST0066</t>
  </si>
  <si>
    <t>TXN00220</t>
  </si>
  <si>
    <t>CUST0038</t>
  </si>
  <si>
    <t>TXN00221</t>
  </si>
  <si>
    <t>TXN00222</t>
  </si>
  <si>
    <t>TXN00223</t>
  </si>
  <si>
    <t>CUST0097</t>
  </si>
  <si>
    <t>TXN00224</t>
  </si>
  <si>
    <t>CUST0028</t>
  </si>
  <si>
    <t>TXN00225</t>
  </si>
  <si>
    <t>TXN00226</t>
  </si>
  <si>
    <t>TXN00227</t>
  </si>
  <si>
    <t>CUST0156</t>
  </si>
  <si>
    <t>TXN00228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</si>
  <si>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</si>
  <si>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</si>
  <si>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</si>
  <si>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</si>
  <si>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</si>
  <si>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</si>
  <si>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</si>
  <si>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</si>
  <si>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</si>
  <si>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TXN00234</t>
  </si>
  <si>
    <t>TXN00235</t>
  </si>
  <si>
    <t>CUST0152</t>
  </si>
  <si>
    <t>TXN00236</t>
  </si>
  <si>
    <t>CUST0102</t>
  </si>
  <si>
    <t>TXN00237</t>
  </si>
  <si>
    <t>14:00</t>
  </si>
  <si>
    <t>TXN00238</t>
  </si>
  <si>
    <t>TXN00239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</si>
  <si>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</si>
  <si>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</si>
  <si>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</si>
  <si>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</si>
  <si>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</si>
  <si>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</si>
  <si>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</si>
  <si>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</si>
  <si>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15:30</t>
  </si>
  <si>
    <t>CUST0110</t>
  </si>
  <si>
    <t>TXN00246</t>
  </si>
  <si>
    <t>CUST0023</t>
  </si>
  <si>
    <t>TXN00247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</si>
  <si>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</si>
  <si>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</si>
  <si>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</si>
  <si>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</si>
  <si>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</si>
  <si>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</si>
  <si>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</si>
  <si>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</si>
  <si>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</si>
  <si>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TXN00254</t>
  </si>
  <si>
    <t>TXN00255</t>
  </si>
  <si>
    <t>CUST0322</t>
  </si>
  <si>
    <t>TXN00256</t>
  </si>
  <si>
    <t>TXN00257</t>
  </si>
  <si>
    <t>CUST0020</t>
  </si>
  <si>
    <t>TXN00258</t>
  </si>
  <si>
    <t>TXN00259</t>
  </si>
  <si>
    <t>TXN00260</t>
  </si>
  <si>
    <t>CUST0114</t>
  </si>
  <si>
    <t>TXN00261</t>
  </si>
  <si>
    <t>CUST0017</t>
  </si>
  <si>
    <t>TXN00262</t>
  </si>
  <si>
    <t>BP025</t>
  </si>
  <si>
    <t>Product 25</t>
  </si>
  <si>
    <t>TXN00263</t>
  </si>
  <si>
    <t>CUST0236</t>
  </si>
  <si>
    <t>TXN00264</t>
  </si>
  <si>
    <t>CUST0184</t>
  </si>
  <si>
    <t>TXN00265</t>
  </si>
  <si>
    <t>TXN00266</t>
  </si>
  <si>
    <t>CUST0042</t>
  </si>
  <si>
    <t>TXN00267</t>
  </si>
  <si>
    <t>TXN00268</t>
  </si>
  <si>
    <t>CUST0136</t>
  </si>
  <si>
    <t>TXN00269</t>
  </si>
  <si>
    <t>TXN00270</t>
  </si>
  <si>
    <t>CUST0171</t>
  </si>
  <si>
    <t>TXN00271</t>
  </si>
  <si>
    <t>TXN00272</t>
  </si>
  <si>
    <t>CUST0064</t>
  </si>
  <si>
    <t>TXN00273</t>
  </si>
  <si>
    <t>CUST0012</t>
  </si>
  <si>
    <t>TXN00274</t>
  </si>
  <si>
    <t>CUST0183</t>
  </si>
  <si>
    <t>TXN00275</t>
  </si>
  <si>
    <t>TXN00276</t>
  </si>
  <si>
    <t>TXN00277</t>
  </si>
  <si>
    <t>TXN00278</t>
  </si>
  <si>
    <t>CUST0267</t>
  </si>
  <si>
    <t>TXN00279</t>
  </si>
  <si>
    <t>CUST0115</t>
  </si>
  <si>
    <t>TXN00280</t>
  </si>
  <si>
    <t>TXN00281</t>
  </si>
  <si>
    <t>TXN00282</t>
  </si>
  <si>
    <t>CUST0232</t>
  </si>
  <si>
    <t>TXN00283</t>
  </si>
  <si>
    <t>CUST0013</t>
  </si>
  <si>
    <t>TXN00284</t>
  </si>
  <si>
    <t>CUST0347</t>
  </si>
  <si>
    <t>TXN00285</t>
  </si>
  <si>
    <t>CUST0004</t>
  </si>
  <si>
    <t>TXN00286</t>
  </si>
  <si>
    <t>TXN00287</t>
  </si>
  <si>
    <t>TXN00288</t>
  </si>
  <si>
    <t>CUST0214</t>
  </si>
  <si>
    <t>TXN00289</t>
  </si>
  <si>
    <t>CUST0240</t>
  </si>
  <si>
    <t>TXN00290</t>
  </si>
  <si>
    <t>TXN00291</t>
  </si>
  <si>
    <t>TXN00292</t>
  </si>
  <si>
    <t>12:30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</si>
  <si>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</si>
  <si>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</si>
  <si>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</si>
  <si>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</si>
  <si>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</si>
  <si>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</si>
  <si>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</si>
  <si>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</si>
  <si>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CUST0193</t>
  </si>
  <si>
    <t>TXN00299</t>
  </si>
  <si>
    <t>TXN00300</t>
  </si>
  <si>
    <t>TXN00301</t>
  </si>
  <si>
    <t>TXN00302</t>
  </si>
  <si>
    <t>CUST0170</t>
  </si>
  <si>
    <t>TXN00303</t>
  </si>
  <si>
    <t>TXN00304</t>
  </si>
  <si>
    <t>TXN00305</t>
  </si>
  <si>
    <t>CUST0002</t>
  </si>
  <si>
    <t>TXN00306</t>
  </si>
  <si>
    <t>TXN00307</t>
  </si>
  <si>
    <t>CUST0186</t>
  </si>
  <si>
    <t>TXN00308</t>
  </si>
  <si>
    <t>TXN00309</t>
  </si>
  <si>
    <t>TXN00310</t>
  </si>
  <si>
    <t>TXN00311</t>
  </si>
  <si>
    <t>CUST0255</t>
  </si>
  <si>
    <t>TXN00312</t>
  </si>
  <si>
    <t>CUST0182</t>
  </si>
  <si>
    <t>TXN00313</t>
  </si>
  <si>
    <t>TXN00314</t>
  </si>
  <si>
    <t>CUST0285</t>
  </si>
  <si>
    <t>TXN00315</t>
  </si>
  <si>
    <t>TXN00316</t>
  </si>
  <si>
    <t>TXN00317</t>
  </si>
  <si>
    <t>TXN00318</t>
  </si>
  <si>
    <t>TXN00319</t>
  </si>
  <si>
    <t>CUST0262</t>
  </si>
  <si>
    <t>TXN00320</t>
  </si>
  <si>
    <t>TXN00321</t>
  </si>
  <si>
    <t>TXN00322</t>
  </si>
  <si>
    <t>TXN00323</t>
  </si>
  <si>
    <t>TXN00324</t>
  </si>
  <si>
    <t>CUST0016</t>
  </si>
  <si>
    <t>TXN00325</t>
  </si>
  <si>
    <t>TXN00326</t>
  </si>
  <si>
    <t>CUST0252</t>
  </si>
  <si>
    <t>TXN00327</t>
  </si>
  <si>
    <t>CUST0077</t>
  </si>
  <si>
    <t>TXN00328</t>
  </si>
  <si>
    <t>TXN00329</t>
  </si>
  <si>
    <t>CUST0095</t>
  </si>
  <si>
    <t>TXN00330</t>
  </si>
  <si>
    <t>CUST0022</t>
  </si>
  <si>
    <t>TXN00331</t>
  </si>
  <si>
    <t>TXN00332</t>
  </si>
  <si>
    <t>TXN00333</t>
  </si>
  <si>
    <t>TXN00334</t>
  </si>
  <si>
    <t>CUST0108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</si>
  <si>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</si>
  <si>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</si>
  <si>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</si>
  <si>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</si>
  <si>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</si>
  <si>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</si>
  <si>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</si>
  <si>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</si>
  <si>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</si>
  <si>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</si>
  <si>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</si>
  <si>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</si>
  <si>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14:45</t>
  </si>
  <si>
    <t>CUST0052</t>
  </si>
  <si>
    <t>TXN00343</t>
  </si>
  <si>
    <t>TXN00344</t>
  </si>
  <si>
    <t>TXN00345</t>
  </si>
  <si>
    <t>TXN00346</t>
  </si>
  <si>
    <t>CUST0138</t>
  </si>
  <si>
    <t>TXN00347</t>
  </si>
  <si>
    <t>TXN00348</t>
  </si>
  <si>
    <t>TXN00349</t>
  </si>
  <si>
    <t>TXN00350</t>
  </si>
  <si>
    <t>TXN00351</t>
  </si>
  <si>
    <t>TXN00352</t>
  </si>
  <si>
    <t>CUST0101</t>
  </si>
  <si>
    <t>TXN00353</t>
  </si>
  <si>
    <t>TXN00354</t>
  </si>
  <si>
    <t>CUST0007</t>
  </si>
  <si>
    <t>TXN00355</t>
  </si>
  <si>
    <t>TXN00356</t>
  </si>
  <si>
    <t>TXN00357</t>
  </si>
  <si>
    <t>TXN00358</t>
  </si>
  <si>
    <t>TXN00359</t>
  </si>
  <si>
    <t>CUST0112</t>
  </si>
  <si>
    <t>TXN00360</t>
  </si>
  <si>
    <t>TXN00361</t>
  </si>
  <si>
    <t>TXN00362</t>
  </si>
  <si>
    <t>CUST0123</t>
  </si>
  <si>
    <t>TXN00363</t>
  </si>
  <si>
    <t>TXN00364</t>
  </si>
  <si>
    <t>CUST0014</t>
  </si>
  <si>
    <t>TXN00365</t>
  </si>
  <si>
    <t>TXN00366</t>
  </si>
  <si>
    <t>TXN00367</t>
  </si>
  <si>
    <t>TXN00368</t>
  </si>
  <si>
    <t>CUST0288</t>
  </si>
  <si>
    <t>TXN00369</t>
  </si>
  <si>
    <t>TXN00370</t>
  </si>
  <si>
    <t>TXN00371</t>
  </si>
  <si>
    <t>CUST0226</t>
  </si>
  <si>
    <t>TXN00372</t>
  </si>
  <si>
    <t>TXN00373</t>
  </si>
  <si>
    <t>TXN00374</t>
  </si>
  <si>
    <t>TXN00375</t>
  </si>
  <si>
    <t>TXN00376</t>
  </si>
  <si>
    <t>TXN00377</t>
  </si>
  <si>
    <t>TXN00378</t>
  </si>
  <si>
    <t>CUST0283</t>
  </si>
  <si>
    <t>TXN00379</t>
  </si>
  <si>
    <t>TXN00380</t>
  </si>
  <si>
    <t>TXN00381</t>
  </si>
  <si>
    <t>TXN00382</t>
  </si>
  <si>
    <t>TXN00383</t>
  </si>
  <si>
    <t>TXN00384</t>
  </si>
  <si>
    <t>TXN00385</t>
  </si>
  <si>
    <t>CUST0055</t>
  </si>
  <si>
    <t>TXN00386</t>
  </si>
  <si>
    <t>CUST0237</t>
  </si>
  <si>
    <t>TXN00387</t>
  </si>
  <si>
    <t>TXN00388</t>
  </si>
  <si>
    <t>TXN00389</t>
  </si>
  <si>
    <t>CUST0045</t>
  </si>
  <si>
    <t>TXN00390</t>
  </si>
  <si>
    <t>TXN00391</t>
  </si>
  <si>
    <t>TXN00392</t>
  </si>
  <si>
    <t>TXN00393</t>
  </si>
  <si>
    <t>TXN00394</t>
  </si>
  <si>
    <t>CUST0194</t>
  </si>
  <si>
    <t>TXN00395</t>
  </si>
  <si>
    <t>CUST0266</t>
  </si>
  <si>
    <t>TXN00396</t>
  </si>
  <si>
    <t>CUST0275</t>
  </si>
  <si>
    <t>TXN00397</t>
  </si>
  <si>
    <t>TXN00398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</si>
  <si>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</si>
  <si>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</si>
  <si>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</si>
  <si>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</si>
  <si>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</si>
  <si>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</si>
  <si>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</si>
  <si>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</si>
  <si>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CUST0122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</si>
  <si>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</si>
  <si>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</si>
  <si>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</si>
  <si>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</si>
  <si>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</si>
  <si>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</si>
  <si>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</si>
  <si>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</si>
  <si>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CUST0312</t>
  </si>
  <si>
    <t>TXN00412</t>
  </si>
  <si>
    <t>TXN00413</t>
  </si>
  <si>
    <t>TXN00414</t>
  </si>
  <si>
    <t>CUST0234</t>
  </si>
  <si>
    <t>TXN00415</t>
  </si>
  <si>
    <t>TXN00416</t>
  </si>
  <si>
    <t>CUST0149</t>
  </si>
  <si>
    <t>TXN00417</t>
  </si>
  <si>
    <t>CUST0078</t>
  </si>
  <si>
    <t>TXN00418</t>
  </si>
  <si>
    <t>TXN00419</t>
  </si>
  <si>
    <t>TXN00420</t>
  </si>
  <si>
    <t>TXN00421</t>
  </si>
  <si>
    <t>TXN00422</t>
  </si>
  <si>
    <t>CUST0239</t>
  </si>
  <si>
    <t>TXN00423</t>
  </si>
  <si>
    <t>TXN00424</t>
  </si>
  <si>
    <t>TXN00425</t>
  </si>
  <si>
    <t>CUST0167</t>
  </si>
  <si>
    <t>TXN00426</t>
  </si>
  <si>
    <t>TXN00427</t>
  </si>
  <si>
    <t>TXN00428</t>
  </si>
  <si>
    <t>TXN00429</t>
  </si>
  <si>
    <t>TXN00430</t>
  </si>
  <si>
    <t>CUST0160</t>
  </si>
  <si>
    <t>TXN00431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</si>
  <si>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</si>
  <si>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</si>
  <si>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</si>
  <si>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</si>
  <si>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</si>
  <si>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</si>
  <si>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</si>
  <si>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</si>
  <si>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</si>
  <si>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</si>
  <si>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CUST0003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</si>
  <si>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</si>
  <si>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</si>
  <si>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</si>
  <si>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</si>
  <si>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</si>
  <si>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</si>
  <si>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</si>
  <si>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</si>
  <si>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</si>
  <si>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</si>
  <si>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</si>
  <si>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</si>
  <si>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</si>
  <si>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</si>
  <si>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</si>
  <si>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CUST0106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</si>
  <si>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</si>
  <si>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</si>
  <si>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</si>
  <si>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</si>
  <si>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</si>
  <si>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</si>
  <si>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</si>
  <si>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</si>
  <si>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</si>
  <si>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TXN00459</t>
  </si>
  <si>
    <t>CUST0034</t>
  </si>
  <si>
    <t>TXN00460</t>
  </si>
  <si>
    <t>TXN00461</t>
  </si>
  <si>
    <t>TXN00462</t>
  </si>
  <si>
    <t>TXN00463</t>
  </si>
  <si>
    <t>TXN00464</t>
  </si>
  <si>
    <t>CUST0292</t>
  </si>
  <si>
    <t>TXN00465</t>
  </si>
  <si>
    <t>CUST0039</t>
  </si>
  <si>
    <t>TXN00466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</si>
  <si>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</si>
  <si>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</si>
  <si>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</si>
  <si>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</si>
  <si>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</si>
  <si>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</si>
  <si>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</si>
  <si>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</si>
  <si>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</si>
  <si>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</si>
  <si>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</si>
  <si>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</si>
  <si>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</si>
  <si>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</si>
  <si>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</si>
  <si>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</si>
  <si>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</si>
  <si>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TXN00481</t>
  </si>
  <si>
    <t>TXN00482</t>
  </si>
  <si>
    <t>CUST0309</t>
  </si>
  <si>
    <t>TXN00483</t>
  </si>
  <si>
    <t>TXN00484</t>
  </si>
  <si>
    <t>TXN00485</t>
  </si>
  <si>
    <t>TXN00486</t>
  </si>
  <si>
    <t>CUST0350</t>
  </si>
  <si>
    <t>TXN00487</t>
  </si>
  <si>
    <t>CUST0345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</si>
  <si>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</si>
  <si>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</si>
  <si>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</si>
  <si>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</si>
  <si>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</si>
  <si>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</si>
  <si>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</si>
  <si>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</si>
  <si>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</si>
  <si>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</si>
  <si>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</si>
  <si>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</si>
  <si>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</si>
  <si>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</si>
  <si>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</si>
  <si>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</si>
  <si>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CUST0159</t>
  </si>
  <si>
    <t>TXN00501</t>
  </si>
  <si>
    <t>TXN00502</t>
  </si>
  <si>
    <t>TXN00503</t>
  </si>
  <si>
    <t>TXN00504</t>
  </si>
  <si>
    <t>CUST0099</t>
  </si>
  <si>
    <t>TXN00505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</si>
  <si>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</si>
  <si>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</si>
  <si>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</si>
  <si>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</si>
  <si>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</si>
  <si>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</si>
  <si>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</si>
  <si>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</si>
  <si>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</si>
  <si>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CUST0148</t>
  </si>
  <si>
    <t>TXN00512</t>
  </si>
  <si>
    <t>CUST0072</t>
  </si>
  <si>
    <t>TXN00513</t>
  </si>
  <si>
    <t>TXN00514</t>
  </si>
  <si>
    <t>TXN00515</t>
  </si>
  <si>
    <t>TXN00516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</si>
  <si>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</si>
  <si>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</si>
  <si>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</si>
  <si>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</si>
  <si>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</si>
  <si>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</si>
  <si>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</si>
  <si>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</si>
  <si>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TXN00523</t>
  </si>
  <si>
    <t>CUST0221</t>
  </si>
  <si>
    <t>TXN00524</t>
  </si>
  <si>
    <t>CUST0098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</si>
  <si>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</si>
  <si>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</si>
  <si>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</si>
  <si>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</si>
  <si>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</si>
  <si>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</si>
  <si>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</si>
  <si>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</si>
  <si>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</si>
  <si>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</si>
  <si>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</si>
  <si>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</si>
  <si>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CUST0164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</si>
  <si>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</si>
  <si>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</si>
  <si>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</si>
  <si>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</si>
  <si>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</si>
  <si>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</si>
  <si>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</si>
  <si>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</si>
  <si>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</si>
  <si>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</si>
  <si>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</si>
  <si>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TXN00547</t>
  </si>
  <si>
    <t>TXN00548</t>
  </si>
  <si>
    <t>TXN00549</t>
  </si>
  <si>
    <t>CUST0155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</si>
  <si>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</si>
  <si>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</si>
  <si>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</si>
  <si>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</si>
  <si>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</si>
  <si>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</si>
  <si>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</si>
  <si>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</si>
  <si>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</si>
  <si>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</si>
  <si>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CUST0103</t>
  </si>
  <si>
    <t>TXN00560</t>
  </si>
  <si>
    <t>TXN00561</t>
  </si>
  <si>
    <t>TXN00562</t>
  </si>
  <si>
    <t>TXN00563</t>
  </si>
  <si>
    <t>TXN00564</t>
  </si>
  <si>
    <t>CUST0278</t>
  </si>
  <si>
    <t>TXN00565</t>
  </si>
  <si>
    <t>CUST0332</t>
  </si>
  <si>
    <t>TXN00566</t>
  </si>
  <si>
    <t>TXN00567</t>
  </si>
  <si>
    <t>TXN00568</t>
  </si>
  <si>
    <t>CUST0092</t>
  </si>
  <si>
    <t>TXN00569</t>
  </si>
  <si>
    <t>TXN00570</t>
  </si>
  <si>
    <t>TXN00571</t>
  </si>
  <si>
    <t>CUST0010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</si>
  <si>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</si>
  <si>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</si>
  <si>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</si>
  <si>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</si>
  <si>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</si>
  <si>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</si>
  <si>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</si>
  <si>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</si>
  <si>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</si>
  <si>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</si>
  <si>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</si>
  <si>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</si>
  <si>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</si>
  <si>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</si>
  <si>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</si>
  <si>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</si>
  <si>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CUST0006</t>
  </si>
  <si>
    <t>TXN00587</t>
  </si>
  <si>
    <t>TXN00588</t>
  </si>
  <si>
    <t>TXN00589</t>
  </si>
  <si>
    <t>TXN00590</t>
  </si>
  <si>
    <t>CUST0279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</si>
  <si>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</si>
  <si>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</si>
  <si>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</si>
  <si>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</si>
  <si>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</si>
  <si>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</si>
  <si>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</si>
  <si>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</si>
  <si>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CUST0091</t>
  </si>
  <si>
    <t>TXN00599</t>
  </si>
  <si>
    <t>TXN00600</t>
  </si>
  <si>
    <t>TXN00601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</si>
  <si>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</si>
  <si>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</si>
  <si>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</si>
  <si>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</si>
  <si>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</si>
  <si>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</si>
  <si>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</si>
  <si>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</si>
  <si>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</si>
  <si>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</si>
  <si>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</si>
  <si>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</si>
  <si>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</si>
  <si>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</si>
  <si>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</si>
  <si>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</si>
  <si>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</si>
  <si>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</si>
  <si>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</si>
  <si>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</si>
  <si>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</si>
  <si>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</si>
  <si>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</si>
  <si>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CUST0104</t>
  </si>
  <si>
    <t>TXN00623</t>
  </si>
  <si>
    <t>TXN00624</t>
  </si>
  <si>
    <t>CUST0153</t>
  </si>
  <si>
    <t>TXN00625</t>
  </si>
  <si>
    <t>TXN00626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</si>
  <si>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</si>
  <si>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</si>
  <si>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</si>
  <si>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</si>
  <si>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</si>
  <si>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</si>
  <si>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</si>
  <si>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</si>
  <si>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</si>
  <si>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</si>
  <si>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</si>
  <si>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</si>
  <si>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</si>
  <si>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</si>
  <si>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</si>
  <si>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</si>
  <si>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</si>
  <si>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</si>
  <si>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</si>
  <si>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</si>
  <si>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</si>
  <si>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</si>
  <si>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</si>
  <si>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</si>
  <si>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</si>
  <si>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</si>
  <si>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</si>
  <si>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</si>
  <si>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</si>
  <si>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</si>
  <si>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TXN00652</t>
  </si>
  <si>
    <t>TXN00653</t>
  </si>
  <si>
    <t>CUST0061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</si>
  <si>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</si>
  <si>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</si>
  <si>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</si>
  <si>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</si>
  <si>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</si>
  <si>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</si>
  <si>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</si>
  <si>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</si>
  <si>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</si>
  <si>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</si>
  <si>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</si>
  <si>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</si>
  <si>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</si>
  <si>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CUST0212</t>
  </si>
  <si>
    <t>TXN00667</t>
  </si>
  <si>
    <t>TXN00668</t>
  </si>
  <si>
    <t>TXN00669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</si>
  <si>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</si>
  <si>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</si>
  <si>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</si>
  <si>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</si>
  <si>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</si>
  <si>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</si>
  <si>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</si>
  <si>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</si>
  <si>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</si>
  <si>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</si>
  <si>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</si>
  <si>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CUST0046</t>
  </si>
  <si>
    <t>TXN00679</t>
  </si>
  <si>
    <t>CUST0068</t>
  </si>
  <si>
    <t>TXN00680</t>
  </si>
  <si>
    <t>TXN00681</t>
  </si>
  <si>
    <t>TXN00682</t>
  </si>
  <si>
    <t>CUST0207</t>
  </si>
  <si>
    <t>TXN00683</t>
  </si>
  <si>
    <t>TXN00684</t>
  </si>
  <si>
    <t>TXN00685</t>
  </si>
  <si>
    <t>TXN00686</t>
  </si>
  <si>
    <t>TXN00687</t>
  </si>
  <si>
    <t>TXN00688</t>
  </si>
  <si>
    <t>TXN00689</t>
  </si>
  <si>
    <t>CUST0109</t>
  </si>
  <si>
    <t>TXN00690</t>
  </si>
  <si>
    <t>TXN00691</t>
  </si>
  <si>
    <t>CUST0047</t>
  </si>
  <si>
    <t>TXN00692</t>
  </si>
  <si>
    <t>TXN00693</t>
  </si>
  <si>
    <t>TXN00694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</si>
  <si>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</si>
  <si>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</si>
  <si>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</si>
  <si>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</si>
  <si>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</si>
  <si>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</si>
  <si>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</si>
  <si>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</si>
  <si>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</si>
  <si>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</si>
  <si>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</si>
  <si>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</si>
  <si>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</si>
  <si>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</si>
  <si>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</si>
  <si>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</si>
  <si>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</si>
  <si>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</si>
  <si>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CUST0100</t>
  </si>
  <si>
    <t>TXN00711</t>
  </si>
  <si>
    <t>CUST0107</t>
  </si>
  <si>
    <t>TXN00712</t>
  </si>
  <si>
    <t>CUST0298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</si>
  <si>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</si>
  <si>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</si>
  <si>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</si>
  <si>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</si>
  <si>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</si>
  <si>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</si>
  <si>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</si>
  <si>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</si>
  <si>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</si>
  <si>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</si>
  <si>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</si>
  <si>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</si>
  <si>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</si>
  <si>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</si>
  <si>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</si>
  <si>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</si>
  <si>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</si>
  <si>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</si>
  <si>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</si>
  <si>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</si>
  <si>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</si>
  <si>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</si>
  <si>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</si>
  <si>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</si>
  <si>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</si>
  <si>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</si>
  <si>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</si>
  <si>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</si>
  <si>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</si>
  <si>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</si>
  <si>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</si>
  <si>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</si>
  <si>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</si>
  <si>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</si>
  <si>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</si>
  <si>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</si>
  <si>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</si>
  <si>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</si>
  <si>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</si>
  <si>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</si>
  <si>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</si>
  <si>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</si>
  <si>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</si>
  <si>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</si>
  <si>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</si>
  <si>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</si>
  <si>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</si>
  <si>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</si>
  <si>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</si>
  <si>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</si>
  <si>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</si>
  <si>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</si>
  <si>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</si>
  <si>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</si>
  <si>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</si>
  <si>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</si>
  <si>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</si>
  <si>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</si>
  <si>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</si>
  <si>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</si>
  <si>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</si>
  <si>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</si>
  <si>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</si>
  <si>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</si>
  <si>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</si>
  <si>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</si>
  <si>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</si>
  <si>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</si>
  <si>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</si>
  <si>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</si>
  <si>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CUST0041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</si>
  <si>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</si>
  <si>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</si>
  <si>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</si>
  <si>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</si>
  <si>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</si>
  <si>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</si>
  <si>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</si>
  <si>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</si>
  <si>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</si>
  <si>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</si>
  <si>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</si>
  <si>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</si>
  <si>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</si>
  <si>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</si>
  <si>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</si>
  <si>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</si>
  <si>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</si>
  <si>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</si>
  <si>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</si>
  <si>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</si>
  <si>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</si>
  <si>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</si>
  <si>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</si>
  <si>
    <t>Transaction_ID</t>
  </si>
  <si>
    <t>Transaction_Date</t>
  </si>
  <si>
    <t>Transaction_Time</t>
  </si>
  <si>
    <t>TRANSACTION_HOUR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</si>
  <si>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</si>
  <si>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</si>
  <si>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</si>
  <si>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</si>
  <si>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</si>
  <si>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</si>
  <si>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</si>
  <si>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</si>
  <si>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</si>
  <si>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</si>
  <si>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</si>
  <si>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</si>
  <si>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</si>
  <si>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</si>
  <si>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</si>
  <si>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</si>
  <si>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</si>
  <si>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</si>
  <si>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</si>
  <si>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</si>
  <si>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</si>
  <si>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</si>
  <si>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</si>
  <si>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</si>
  <si>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</si>
  <si>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</si>
  <si>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</si>
  <si>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Sales_Valid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</si>
</sst>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38819-E260-40A7-A2B0-AE1C37B12411}" name="Cleaned_Sales_Table" displayName="Cleaned_Sales_Table" ref="A1:AF801" totalsRowShown="0">
  <autoFilter ref="A1:AF801" xr:uid="{4C338819-E260-40A7-A2B0-AE1C37B12411}"/>
  <tableColumns count="32">
    <tableColumn id="1" xr3:uid="{4533CBAD-2190-40A6-8BDA-01C3ADDA14CB}" name="Transaction_ID"/>
    <tableColumn id="2" xr3:uid="{DD483EA7-4623-44D2-AF84-D017CD48F059}" name="Transaction_Date" dataDxfId="2"/>
    <tableColumn id="3" xr3:uid="{A953F71E-DC01-47EF-A40D-CA85790BD81B}" name="Transaction_Time"/>
    <tableColumn id="33" xr3:uid="{6E4213E2-53DF-4D5F-B9B7-30A57D997BCC}" name="TRANSACTION_HOUR" dataDxfId="1">
      <calculatedColumnFormula>HOUR(C2)</calculatedColumnFormula>
    </tableColumn>
    <tableColumn id="4" xr3:uid="{F49A79EA-48D4-43FA-A05C-DC32B1503B2A}" name="Month"/>
    <tableColumn id="5" xr3:uid="{AEDDCBCB-9DC2-44AE-982B-903E210E715D}" name="Quarter"/>
    <tableColumn id="6" xr3:uid="{00E5AC33-168B-4D0A-9C67-538ABF93C91A}" name="Weekday"/>
    <tableColumn id="7" xr3:uid="{7C4BFBC1-27B8-4A72-B282-5D5DBDDCFA94}" name="Outlet_ID"/>
    <tableColumn id="8" xr3:uid="{B9A41F32-DBFA-475B-90E6-61D82C15DE4A}" name="Outlet_Name"/>
    <tableColumn id="9" xr3:uid="{2A317C63-C564-4101-9E04-F7E57CBD6A18}" name="City"/>
    <tableColumn id="10" xr3:uid="{D08BCD9C-D1C0-42E3-8B87-6217B4066B9E}" name="Cashier_ID"/>
    <tableColumn id="11" xr3:uid="{BE0743C5-A019-4930-A02D-528A5CCE56C2}" name="Customer_ID"/>
    <tableColumn id="12" xr3:uid="{BFBFC419-B7BC-4385-86F2-928952FE1F5F}" name="Customer_Name"/>
    <tableColumn id="13" xr3:uid="{1444A586-6661-4C8D-A7E5-5BF2AC924837}" name="Gender"/>
    <tableColumn id="14" xr3:uid="{7E16726F-3429-40B5-846E-27F2E20F6871}" name="Age"/>
    <tableColumn id="15" xr3:uid="{FF577503-D4BB-424F-9C19-9873752D8DFE}" name="Membership"/>
    <tableColumn id="16" xr3:uid="{BFAC219A-B0F3-41B5-8F53-1478DC602E4B}" name="Product_ID"/>
    <tableColumn id="17" xr3:uid="{E2E03EF6-EB3E-4F7B-904A-40C9C40FDB99}" name="Product_Name"/>
    <tableColumn id="18" xr3:uid="{FE5D7340-8219-4106-9F93-AC62B5493DED}" name="Category"/>
    <tableColumn id="19" xr3:uid="{FC514FB8-78F5-44D4-BCA9-BAA77376BA5F}" name="Size"/>
    <tableColumn id="20" xr3:uid="{1D7F5E88-A10E-4DEC-8DD7-684ADD7E192D}" name="Quantity"/>
    <tableColumn id="21" xr3:uid="{2E3D3245-461E-4E74-967F-601580DCC7F1}" name="Cost_Price"/>
    <tableColumn id="22" xr3:uid="{16824CE9-CE41-470F-A044-91BD71A28DB9}" name="Selling_Price"/>
    <tableColumn id="23" xr3:uid="{05F00520-6433-44FA-ABC5-DC9677831099}" name="Discount_%"/>
    <tableColumn id="24" xr3:uid="{868316B9-4AC8-4CDE-B889-65966C557682}" name="Revenue"/>
    <tableColumn id="25" xr3:uid="{26CBE485-8531-4A4F-9DB5-CA41A6F67CC5}" name="Profit"/>
    <tableColumn id="26" xr3:uid="{3D4C289B-F91F-4346-9339-1D66F077A31F}" name="Payment_Mode"/>
    <tableColumn id="27" xr3:uid="{FADA1606-961A-4147-8C24-016F2F4350FA}" name="Promotion"/>
    <tableColumn id="28" xr3:uid="{C166E8FF-01C1-472B-B28D-F73F531C3E9A}" name="Customer_Rating"/>
    <tableColumn id="29" xr3:uid="{12D72BE6-82DB-46EE-AAAF-3B72D62DF032}" name="Dine_In_Takeaway"/>
    <tableColumn id="30" xr3:uid="{75513A2D-A0A4-450F-892E-101A9EE81A29}" name="Order_Status"/>
    <tableColumn id="34" xr3:uid="{DC045833-58ED-48D9-BC58-538D94053985}" name="Sales_Valid" dataDxfId="0">
      <calculatedColumnFormula>IF(AE2="Completed","Yes",IF(AE2="Cancelled","No","Review"))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F6D8-1913-4CED-BC11-BAFB276250FF}">
  <dimension ref="A1:AF801"/>
  <sheetViews>
    <sheetView tabSelected="1" zoomScale="53" workbookViewId="0">
      <selection activeCell="B6" sqref="B6"/>
    </sheetView>
  </sheetViews>
  <sheetFormatPr defaultRowHeight="14.4" x14ac:dyDescent="0.3"/>
  <cols>
    <col min="2" max="2" width="18" bestFit="1" customWidth="1"/>
  </cols>
  <sheetData>
    <row r="1" spans="1:32" x14ac:dyDescent="0.3">
      <c r="A1" t="s">
        <v>1388</v>
      </c>
      <c r="B1" s="1" t="s">
        <v>1389</v>
      </c>
      <c r="C1" t="s">
        <v>1390</v>
      </c>
      <c r="D1" t="s">
        <v>1391</v>
      </c>
      <c r="E1" t="s">
        <v>1392</v>
      </c>
      <c r="F1" t="s">
        <v>1393</v>
      </c>
      <c r="G1" t="s">
        <v>1394</v>
      </c>
      <c r="H1" t="s">
        <v>1395</v>
      </c>
      <c r="I1" t="s">
        <v>1396</v>
      </c>
      <c r="J1" t="s">
        <v>1397</v>
      </c>
      <c r="K1" t="s">
        <v>1398</v>
      </c>
      <c r="L1" t="s">
        <v>1399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  <c r="T1" t="s">
        <v>1407</v>
      </c>
      <c r="U1" t="s">
        <v>1408</v>
      </c>
      <c r="V1" t="s">
        <v>1409</v>
      </c>
      <c r="W1" t="s">
        <v>1410</v>
      </c>
      <c r="X1" t="s">
        <v>1411</v>
      </c>
      <c r="Y1" t="s">
        <v>1412</v>
      </c>
      <c r="Z1" t="s">
        <v>1413</v>
      </c>
      <c r="AA1" t="s">
        <v>1414</v>
      </c>
      <c r="AB1" t="s">
        <v>1415</v>
      </c>
      <c r="AC1" t="s">
        <v>1416</v>
      </c>
      <c r="AD1" t="s">
        <v>1417</v>
      </c>
      <c r="AE1" t="s">
        <v>1418</v>
      </c>
      <c r="AF1" t="s">
        <v>1419</v>
      </c>
    </row>
    <row r="2" spans="1:32" x14ac:dyDescent="0.3">
      <c r="A2" t="s">
        <v>0</v>
      </c>
      <c r="B2" s="1">
        <v>45683</v>
      </c>
      <c r="C2" t="s">
        <v>1</v>
      </c>
      <c r="D2">
        <f t="shared" ref="D2:D65" si="0">HOUR(C2)</f>
        <v>19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>
        <v>47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>
        <v>3</v>
      </c>
      <c r="V2">
        <v>43</v>
      </c>
      <c r="W2">
        <v>129</v>
      </c>
      <c r="X2">
        <v>5</v>
      </c>
      <c r="Y2">
        <v>367.65</v>
      </c>
      <c r="Z2">
        <v>238.65</v>
      </c>
      <c r="AA2" t="s">
        <v>17</v>
      </c>
      <c r="AB2" t="s">
        <v>18</v>
      </c>
      <c r="AD2" t="s">
        <v>19</v>
      </c>
      <c r="AE2" t="s">
        <v>20</v>
      </c>
      <c r="AF2" t="str">
        <f>IF(AE2="Completed","Yes",IF(AE2="Cancelled","No","Review"))</f>
        <v>Yes</v>
      </c>
    </row>
    <row r="3" spans="1:32" x14ac:dyDescent="0.3">
      <c r="A3" t="s">
        <v>21</v>
      </c>
      <c r="B3" s="1">
        <v>45684</v>
      </c>
      <c r="C3" t="s">
        <v>22</v>
      </c>
      <c r="D3">
        <f t="shared" si="0"/>
        <v>7</v>
      </c>
      <c r="E3" t="s">
        <v>2</v>
      </c>
      <c r="F3" t="s">
        <v>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64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>
        <v>4</v>
      </c>
      <c r="V3">
        <v>83</v>
      </c>
      <c r="W3">
        <v>232.4</v>
      </c>
      <c r="X3">
        <v>10</v>
      </c>
      <c r="Y3">
        <v>836.64</v>
      </c>
      <c r="Z3">
        <v>504.64</v>
      </c>
      <c r="AA3" t="s">
        <v>36</v>
      </c>
      <c r="AB3" t="s">
        <v>37</v>
      </c>
      <c r="AC3">
        <v>4</v>
      </c>
      <c r="AD3" t="s">
        <v>19</v>
      </c>
      <c r="AE3" t="s">
        <v>20</v>
      </c>
      <c r="AF3" t="str">
        <f>IF(AE3="Completed","Yes",IF(AE3="Cancelled","No","Review"))</f>
        <v>Yes</v>
      </c>
    </row>
    <row r="4" spans="1:32" x14ac:dyDescent="0.3">
      <c r="A4" t="s">
        <v>38</v>
      </c>
      <c r="B4" s="1">
        <v>45681</v>
      </c>
      <c r="C4" t="s">
        <v>39</v>
      </c>
      <c r="D4">
        <f t="shared" si="0"/>
        <v>18</v>
      </c>
      <c r="E4" t="s">
        <v>2</v>
      </c>
      <c r="F4" t="s">
        <v>3</v>
      </c>
      <c r="G4" t="s">
        <v>40</v>
      </c>
      <c r="H4" t="s">
        <v>5</v>
      </c>
      <c r="I4" t="s">
        <v>6</v>
      </c>
      <c r="J4" t="s">
        <v>7</v>
      </c>
      <c r="K4" t="s">
        <v>41</v>
      </c>
      <c r="L4" t="s">
        <v>42</v>
      </c>
      <c r="M4" t="s">
        <v>10</v>
      </c>
      <c r="N4" t="s">
        <v>30</v>
      </c>
      <c r="O4">
        <v>59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>
        <v>3</v>
      </c>
      <c r="V4">
        <v>83</v>
      </c>
      <c r="W4">
        <v>232.4</v>
      </c>
      <c r="X4">
        <v>5</v>
      </c>
      <c r="Y4">
        <v>662.34</v>
      </c>
      <c r="Z4">
        <v>413.34</v>
      </c>
      <c r="AA4" t="s">
        <v>43</v>
      </c>
      <c r="AB4" t="s">
        <v>44</v>
      </c>
      <c r="AC4">
        <v>4</v>
      </c>
      <c r="AD4" t="s">
        <v>19</v>
      </c>
      <c r="AE4" t="s">
        <v>20</v>
      </c>
      <c r="AF4" t="str">
        <f t="shared" ref="AF4:AF67" si="1">IF(AE4="Completed","Yes",IF(AE4="Cancelled","No","Review"))</f>
        <v>Yes</v>
      </c>
    </row>
    <row r="5" spans="1:32" x14ac:dyDescent="0.3">
      <c r="A5" t="s">
        <v>45</v>
      </c>
      <c r="B5" s="1">
        <v>45781</v>
      </c>
      <c r="C5" t="s">
        <v>46</v>
      </c>
      <c r="D5">
        <f t="shared" si="0"/>
        <v>19</v>
      </c>
      <c r="E5" t="s">
        <v>47</v>
      </c>
      <c r="F5" t="s">
        <v>48</v>
      </c>
      <c r="G5" t="s">
        <v>4</v>
      </c>
      <c r="H5" t="s">
        <v>49</v>
      </c>
      <c r="I5" t="s">
        <v>50</v>
      </c>
      <c r="J5" t="s">
        <v>7</v>
      </c>
      <c r="K5" t="s">
        <v>51</v>
      </c>
      <c r="L5" t="s">
        <v>52</v>
      </c>
      <c r="M5" t="s">
        <v>53</v>
      </c>
      <c r="N5" t="s">
        <v>30</v>
      </c>
      <c r="O5">
        <v>32</v>
      </c>
      <c r="P5" t="s">
        <v>54</v>
      </c>
      <c r="Q5" t="s">
        <v>55</v>
      </c>
      <c r="R5" t="s">
        <v>56</v>
      </c>
      <c r="S5" t="s">
        <v>57</v>
      </c>
      <c r="T5" t="s">
        <v>35</v>
      </c>
      <c r="U5">
        <v>2</v>
      </c>
      <c r="V5">
        <v>36</v>
      </c>
      <c r="W5">
        <v>79.2</v>
      </c>
      <c r="X5">
        <v>15</v>
      </c>
      <c r="Y5">
        <v>134.63999999999999</v>
      </c>
      <c r="Z5">
        <v>62.64</v>
      </c>
      <c r="AA5" t="s">
        <v>36</v>
      </c>
      <c r="AB5" t="s">
        <v>18</v>
      </c>
      <c r="AD5" t="s">
        <v>19</v>
      </c>
      <c r="AE5" t="s">
        <v>20</v>
      </c>
      <c r="AF5" t="str">
        <f t="shared" si="1"/>
        <v>Yes</v>
      </c>
    </row>
    <row r="6" spans="1:32" x14ac:dyDescent="0.3">
      <c r="A6" t="s">
        <v>58</v>
      </c>
      <c r="B6" s="1">
        <v>45812</v>
      </c>
      <c r="C6" t="s">
        <v>59</v>
      </c>
      <c r="D6">
        <f t="shared" si="0"/>
        <v>16</v>
      </c>
      <c r="E6" t="s">
        <v>60</v>
      </c>
      <c r="F6" t="s">
        <v>48</v>
      </c>
      <c r="G6" t="s">
        <v>4</v>
      </c>
      <c r="H6" t="s">
        <v>61</v>
      </c>
      <c r="I6" t="s">
        <v>62</v>
      </c>
      <c r="J6" t="s">
        <v>7</v>
      </c>
      <c r="K6" t="s">
        <v>63</v>
      </c>
      <c r="L6" t="s">
        <v>64</v>
      </c>
      <c r="M6" t="s">
        <v>65</v>
      </c>
      <c r="N6" t="s">
        <v>30</v>
      </c>
      <c r="O6">
        <v>24</v>
      </c>
      <c r="P6" t="s">
        <v>31</v>
      </c>
      <c r="Q6" t="s">
        <v>66</v>
      </c>
      <c r="R6" t="s">
        <v>67</v>
      </c>
      <c r="S6" t="s">
        <v>68</v>
      </c>
      <c r="T6" t="s">
        <v>16</v>
      </c>
      <c r="U6">
        <v>1</v>
      </c>
      <c r="V6">
        <v>43</v>
      </c>
      <c r="W6">
        <v>120.4</v>
      </c>
      <c r="X6">
        <v>10</v>
      </c>
      <c r="Y6">
        <v>108.36</v>
      </c>
      <c r="Z6">
        <v>65.36</v>
      </c>
      <c r="AA6" t="s">
        <v>69</v>
      </c>
      <c r="AB6" t="s">
        <v>44</v>
      </c>
      <c r="AC6">
        <v>5</v>
      </c>
      <c r="AD6" t="s">
        <v>19</v>
      </c>
      <c r="AE6" t="s">
        <v>20</v>
      </c>
      <c r="AF6" t="str">
        <f t="shared" si="1"/>
        <v>Yes</v>
      </c>
    </row>
    <row r="7" spans="1:32" x14ac:dyDescent="0.3">
      <c r="A7" t="s">
        <v>70</v>
      </c>
      <c r="B7" s="1">
        <v>45728</v>
      </c>
      <c r="C7" t="s">
        <v>71</v>
      </c>
      <c r="D7">
        <f t="shared" si="0"/>
        <v>10</v>
      </c>
      <c r="E7" t="s">
        <v>72</v>
      </c>
      <c r="F7" t="s">
        <v>3</v>
      </c>
      <c r="G7" t="s">
        <v>73</v>
      </c>
      <c r="H7" t="s">
        <v>61</v>
      </c>
      <c r="I7" t="s">
        <v>62</v>
      </c>
      <c r="J7" t="s">
        <v>7</v>
      </c>
      <c r="K7" t="s">
        <v>74</v>
      </c>
      <c r="L7" t="s">
        <v>75</v>
      </c>
      <c r="M7" t="s">
        <v>53</v>
      </c>
      <c r="N7" t="s">
        <v>30</v>
      </c>
      <c r="O7">
        <v>51</v>
      </c>
      <c r="P7" t="s">
        <v>76</v>
      </c>
      <c r="Q7" t="s">
        <v>77</v>
      </c>
      <c r="R7" t="s">
        <v>78</v>
      </c>
      <c r="S7" t="s">
        <v>68</v>
      </c>
      <c r="T7" t="s">
        <v>16</v>
      </c>
      <c r="U7">
        <v>1</v>
      </c>
      <c r="V7">
        <v>35</v>
      </c>
      <c r="W7">
        <v>105</v>
      </c>
      <c r="X7">
        <v>0</v>
      </c>
      <c r="Y7">
        <v>105</v>
      </c>
      <c r="Z7">
        <v>70</v>
      </c>
      <c r="AA7" t="s">
        <v>36</v>
      </c>
      <c r="AB7" t="s">
        <v>44</v>
      </c>
      <c r="AC7">
        <v>4</v>
      </c>
      <c r="AD7" t="s">
        <v>19</v>
      </c>
      <c r="AE7" t="s">
        <v>20</v>
      </c>
      <c r="AF7" t="str">
        <f t="shared" si="1"/>
        <v>Yes</v>
      </c>
    </row>
    <row r="8" spans="1:32" x14ac:dyDescent="0.3">
      <c r="A8" t="s">
        <v>79</v>
      </c>
      <c r="B8" s="1">
        <v>45747</v>
      </c>
      <c r="C8" t="s">
        <v>80</v>
      </c>
      <c r="D8">
        <f t="shared" si="0"/>
        <v>10</v>
      </c>
      <c r="E8" t="s">
        <v>72</v>
      </c>
      <c r="F8" t="s">
        <v>3</v>
      </c>
      <c r="G8" t="s">
        <v>23</v>
      </c>
      <c r="H8" t="s">
        <v>81</v>
      </c>
      <c r="I8" t="s">
        <v>82</v>
      </c>
      <c r="J8" t="s">
        <v>7</v>
      </c>
      <c r="K8" t="s">
        <v>83</v>
      </c>
      <c r="L8" t="s">
        <v>84</v>
      </c>
      <c r="M8" t="s">
        <v>29</v>
      </c>
      <c r="N8" t="s">
        <v>11</v>
      </c>
      <c r="O8">
        <v>46</v>
      </c>
      <c r="P8" t="s">
        <v>76</v>
      </c>
      <c r="Q8" t="s">
        <v>85</v>
      </c>
      <c r="R8" t="s">
        <v>86</v>
      </c>
      <c r="S8" t="s">
        <v>34</v>
      </c>
      <c r="T8" t="s">
        <v>16</v>
      </c>
      <c r="U8">
        <v>4</v>
      </c>
      <c r="V8">
        <v>27</v>
      </c>
      <c r="W8">
        <v>81</v>
      </c>
      <c r="X8">
        <v>5</v>
      </c>
      <c r="Y8">
        <v>307.8</v>
      </c>
      <c r="Z8">
        <v>199.8</v>
      </c>
      <c r="AA8" t="s">
        <v>69</v>
      </c>
      <c r="AB8" t="s">
        <v>87</v>
      </c>
      <c r="AC8">
        <v>4</v>
      </c>
      <c r="AD8" t="s">
        <v>19</v>
      </c>
      <c r="AE8" t="s">
        <v>20</v>
      </c>
      <c r="AF8" t="str">
        <f t="shared" si="1"/>
        <v>Yes</v>
      </c>
    </row>
    <row r="9" spans="1:32" x14ac:dyDescent="0.3">
      <c r="A9" t="s">
        <v>88</v>
      </c>
      <c r="B9" s="1">
        <v>45763</v>
      </c>
      <c r="C9" t="s">
        <v>89</v>
      </c>
      <c r="D9">
        <f t="shared" si="0"/>
        <v>13</v>
      </c>
      <c r="E9" t="s">
        <v>60</v>
      </c>
      <c r="F9" t="s">
        <v>48</v>
      </c>
      <c r="G9" t="s">
        <v>73</v>
      </c>
      <c r="H9" t="s">
        <v>24</v>
      </c>
      <c r="I9" t="s">
        <v>25</v>
      </c>
      <c r="J9" t="s">
        <v>26</v>
      </c>
      <c r="K9" t="s">
        <v>74</v>
      </c>
      <c r="L9" t="s">
        <v>90</v>
      </c>
      <c r="M9" t="s">
        <v>65</v>
      </c>
      <c r="N9" t="s">
        <v>11</v>
      </c>
      <c r="O9">
        <v>63</v>
      </c>
      <c r="P9" t="s">
        <v>91</v>
      </c>
      <c r="Q9" t="s">
        <v>92</v>
      </c>
      <c r="R9" t="s">
        <v>93</v>
      </c>
      <c r="S9" t="s">
        <v>94</v>
      </c>
      <c r="T9" t="s">
        <v>16</v>
      </c>
      <c r="U9">
        <v>4</v>
      </c>
      <c r="V9">
        <v>85</v>
      </c>
      <c r="W9">
        <v>255</v>
      </c>
      <c r="X9">
        <v>10</v>
      </c>
      <c r="Y9">
        <v>918</v>
      </c>
      <c r="Z9">
        <v>578</v>
      </c>
      <c r="AA9" t="s">
        <v>36</v>
      </c>
      <c r="AB9" t="s">
        <v>18</v>
      </c>
      <c r="AC9">
        <v>4</v>
      </c>
      <c r="AD9" t="s">
        <v>19</v>
      </c>
      <c r="AE9" t="s">
        <v>95</v>
      </c>
      <c r="AF9" t="str">
        <f t="shared" si="1"/>
        <v>No</v>
      </c>
    </row>
    <row r="10" spans="1:32" x14ac:dyDescent="0.3">
      <c r="A10" t="s">
        <v>96</v>
      </c>
      <c r="B10" s="1">
        <v>45680</v>
      </c>
      <c r="C10" t="s">
        <v>97</v>
      </c>
      <c r="D10">
        <f t="shared" si="0"/>
        <v>7</v>
      </c>
      <c r="E10" t="s">
        <v>2</v>
      </c>
      <c r="F10" t="s">
        <v>3</v>
      </c>
      <c r="G10" t="s">
        <v>98</v>
      </c>
      <c r="H10" t="s">
        <v>99</v>
      </c>
      <c r="I10" t="s">
        <v>100</v>
      </c>
      <c r="J10" t="s">
        <v>101</v>
      </c>
      <c r="K10" t="s">
        <v>74</v>
      </c>
      <c r="L10" t="s">
        <v>102</v>
      </c>
      <c r="M10" t="s">
        <v>53</v>
      </c>
      <c r="N10" t="s">
        <v>30</v>
      </c>
      <c r="O10">
        <v>58</v>
      </c>
      <c r="P10" t="s">
        <v>76</v>
      </c>
      <c r="Q10" t="s">
        <v>103</v>
      </c>
      <c r="R10" t="s">
        <v>104</v>
      </c>
      <c r="S10" t="s">
        <v>94</v>
      </c>
      <c r="T10" t="s">
        <v>35</v>
      </c>
      <c r="U10">
        <v>3</v>
      </c>
      <c r="V10">
        <v>57</v>
      </c>
      <c r="W10">
        <v>159.6</v>
      </c>
      <c r="X10">
        <v>10</v>
      </c>
      <c r="Y10">
        <v>430.92</v>
      </c>
      <c r="Z10">
        <v>259.92</v>
      </c>
      <c r="AA10" t="s">
        <v>43</v>
      </c>
      <c r="AB10" t="s">
        <v>37</v>
      </c>
      <c r="AD10" t="s">
        <v>105</v>
      </c>
      <c r="AE10" t="s">
        <v>20</v>
      </c>
      <c r="AF10" t="str">
        <f t="shared" si="1"/>
        <v>Yes</v>
      </c>
    </row>
    <row r="11" spans="1:32" x14ac:dyDescent="0.3">
      <c r="A11" t="s">
        <v>106</v>
      </c>
      <c r="B11" s="1">
        <v>45775</v>
      </c>
      <c r="C11" t="s">
        <v>89</v>
      </c>
      <c r="D11">
        <f t="shared" si="0"/>
        <v>13</v>
      </c>
      <c r="E11" t="s">
        <v>60</v>
      </c>
      <c r="F11" t="s">
        <v>48</v>
      </c>
      <c r="G11" t="s">
        <v>23</v>
      </c>
      <c r="H11" t="s">
        <v>49</v>
      </c>
      <c r="I11" t="s">
        <v>50</v>
      </c>
      <c r="J11" t="s">
        <v>7</v>
      </c>
      <c r="K11" t="s">
        <v>107</v>
      </c>
      <c r="L11" t="s">
        <v>108</v>
      </c>
      <c r="M11" t="s">
        <v>10</v>
      </c>
      <c r="N11" t="s">
        <v>30</v>
      </c>
      <c r="O11">
        <v>46</v>
      </c>
      <c r="P11" t="s">
        <v>31</v>
      </c>
      <c r="Q11" t="s">
        <v>109</v>
      </c>
      <c r="R11" t="s">
        <v>110</v>
      </c>
      <c r="S11" t="s">
        <v>111</v>
      </c>
      <c r="T11" t="s">
        <v>16</v>
      </c>
      <c r="U11">
        <v>3</v>
      </c>
      <c r="V11">
        <v>83</v>
      </c>
      <c r="W11">
        <v>182.6</v>
      </c>
      <c r="X11">
        <v>10</v>
      </c>
      <c r="Y11">
        <v>493.02</v>
      </c>
      <c r="Z11">
        <v>244.02</v>
      </c>
      <c r="AA11" t="s">
        <v>69</v>
      </c>
      <c r="AB11" t="s">
        <v>44</v>
      </c>
      <c r="AC11">
        <v>3</v>
      </c>
      <c r="AD11" t="s">
        <v>105</v>
      </c>
      <c r="AE11" t="s">
        <v>20</v>
      </c>
      <c r="AF11" t="str">
        <f t="shared" si="1"/>
        <v>Yes</v>
      </c>
    </row>
    <row r="12" spans="1:32" x14ac:dyDescent="0.3">
      <c r="A12" t="s">
        <v>112</v>
      </c>
      <c r="B12" s="1">
        <v>45793</v>
      </c>
      <c r="C12" t="s">
        <v>113</v>
      </c>
      <c r="D12">
        <f t="shared" si="0"/>
        <v>8</v>
      </c>
      <c r="E12" t="s">
        <v>47</v>
      </c>
      <c r="F12" t="s">
        <v>48</v>
      </c>
      <c r="G12" t="s">
        <v>40</v>
      </c>
      <c r="H12" t="s">
        <v>5</v>
      </c>
      <c r="I12" t="s">
        <v>6</v>
      </c>
      <c r="J12" t="s">
        <v>7</v>
      </c>
      <c r="K12" t="s">
        <v>114</v>
      </c>
      <c r="L12" t="s">
        <v>115</v>
      </c>
      <c r="M12" t="s">
        <v>29</v>
      </c>
      <c r="N12" t="s">
        <v>11</v>
      </c>
      <c r="O12">
        <v>23</v>
      </c>
      <c r="P12" t="s">
        <v>76</v>
      </c>
      <c r="Q12" t="s">
        <v>116</v>
      </c>
      <c r="R12" t="s">
        <v>117</v>
      </c>
      <c r="S12" t="s">
        <v>118</v>
      </c>
      <c r="T12" t="s">
        <v>35</v>
      </c>
      <c r="U12">
        <v>3</v>
      </c>
      <c r="V12">
        <v>99</v>
      </c>
      <c r="W12">
        <v>277.2</v>
      </c>
      <c r="X12">
        <v>5</v>
      </c>
      <c r="Y12">
        <v>790.02</v>
      </c>
      <c r="Z12">
        <v>493.02</v>
      </c>
      <c r="AA12" t="s">
        <v>36</v>
      </c>
      <c r="AB12" t="s">
        <v>119</v>
      </c>
      <c r="AC12">
        <v>4</v>
      </c>
      <c r="AD12" t="s">
        <v>105</v>
      </c>
      <c r="AE12" t="s">
        <v>20</v>
      </c>
      <c r="AF12" t="str">
        <f t="shared" si="1"/>
        <v>Yes</v>
      </c>
    </row>
    <row r="13" spans="1:32" x14ac:dyDescent="0.3">
      <c r="A13" t="s">
        <v>120</v>
      </c>
      <c r="B13" s="1">
        <v>45687</v>
      </c>
      <c r="C13" t="s">
        <v>121</v>
      </c>
      <c r="D13">
        <f t="shared" si="0"/>
        <v>9</v>
      </c>
      <c r="E13" t="s">
        <v>2</v>
      </c>
      <c r="F13" t="s">
        <v>3</v>
      </c>
      <c r="G13" t="s">
        <v>98</v>
      </c>
      <c r="H13" t="s">
        <v>122</v>
      </c>
      <c r="I13" t="s">
        <v>123</v>
      </c>
      <c r="J13" t="s">
        <v>7</v>
      </c>
      <c r="K13" t="s">
        <v>124</v>
      </c>
      <c r="L13" t="s">
        <v>125</v>
      </c>
      <c r="M13" t="s">
        <v>65</v>
      </c>
      <c r="N13" t="s">
        <v>11</v>
      </c>
      <c r="O13">
        <v>17</v>
      </c>
      <c r="P13" t="s">
        <v>31</v>
      </c>
      <c r="Q13" t="s">
        <v>126</v>
      </c>
      <c r="R13" t="s">
        <v>127</v>
      </c>
      <c r="S13" t="s">
        <v>128</v>
      </c>
      <c r="T13" t="s">
        <v>35</v>
      </c>
      <c r="U13">
        <v>2</v>
      </c>
      <c r="V13">
        <v>69</v>
      </c>
      <c r="W13">
        <v>193.2</v>
      </c>
      <c r="X13">
        <v>0</v>
      </c>
      <c r="Y13">
        <v>386.4</v>
      </c>
      <c r="Z13">
        <v>248.4</v>
      </c>
      <c r="AA13" t="s">
        <v>36</v>
      </c>
      <c r="AB13" t="s">
        <v>129</v>
      </c>
      <c r="AC13">
        <v>3</v>
      </c>
      <c r="AD13" t="s">
        <v>105</v>
      </c>
      <c r="AE13" t="s">
        <v>20</v>
      </c>
      <c r="AF13" t="str">
        <f t="shared" si="1"/>
        <v>Yes</v>
      </c>
    </row>
    <row r="14" spans="1:32" x14ac:dyDescent="0.3">
      <c r="A14" t="s">
        <v>130</v>
      </c>
      <c r="B14" s="1">
        <v>45822</v>
      </c>
      <c r="C14" t="s">
        <v>80</v>
      </c>
      <c r="D14">
        <f t="shared" si="0"/>
        <v>10</v>
      </c>
      <c r="E14" t="s">
        <v>131</v>
      </c>
      <c r="F14" t="s">
        <v>48</v>
      </c>
      <c r="G14" t="s">
        <v>132</v>
      </c>
      <c r="H14" t="s">
        <v>5</v>
      </c>
      <c r="I14" t="s">
        <v>6</v>
      </c>
      <c r="J14" t="s">
        <v>7</v>
      </c>
      <c r="K14" t="s">
        <v>107</v>
      </c>
      <c r="L14" t="s">
        <v>133</v>
      </c>
      <c r="M14" t="s">
        <v>53</v>
      </c>
      <c r="N14" t="s">
        <v>30</v>
      </c>
      <c r="O14">
        <v>43</v>
      </c>
      <c r="P14" t="s">
        <v>91</v>
      </c>
      <c r="Q14" t="s">
        <v>134</v>
      </c>
      <c r="R14" t="s">
        <v>135</v>
      </c>
      <c r="S14" t="s">
        <v>136</v>
      </c>
      <c r="T14" t="s">
        <v>35</v>
      </c>
      <c r="U14">
        <v>2</v>
      </c>
      <c r="V14">
        <v>20</v>
      </c>
      <c r="W14">
        <v>60</v>
      </c>
      <c r="X14">
        <v>5</v>
      </c>
      <c r="Y14">
        <v>114</v>
      </c>
      <c r="Z14">
        <v>74</v>
      </c>
      <c r="AA14" t="s">
        <v>17</v>
      </c>
      <c r="AB14" t="s">
        <v>129</v>
      </c>
      <c r="AD14" t="s">
        <v>105</v>
      </c>
      <c r="AE14" t="s">
        <v>20</v>
      </c>
      <c r="AF14" t="str">
        <f t="shared" si="1"/>
        <v>Yes</v>
      </c>
    </row>
    <row r="15" spans="1:32" x14ac:dyDescent="0.3">
      <c r="A15" t="s">
        <v>137</v>
      </c>
      <c r="B15" s="1">
        <v>45837</v>
      </c>
      <c r="C15" t="s">
        <v>97</v>
      </c>
      <c r="D15">
        <f t="shared" si="0"/>
        <v>7</v>
      </c>
      <c r="E15" t="s">
        <v>131</v>
      </c>
      <c r="F15" t="s">
        <v>48</v>
      </c>
      <c r="G15" t="s">
        <v>4</v>
      </c>
      <c r="H15" t="s">
        <v>5</v>
      </c>
      <c r="I15" t="s">
        <v>6</v>
      </c>
      <c r="J15" t="s">
        <v>7</v>
      </c>
      <c r="K15" t="s">
        <v>138</v>
      </c>
      <c r="L15" t="s">
        <v>139</v>
      </c>
      <c r="M15" t="s">
        <v>140</v>
      </c>
      <c r="N15" t="s">
        <v>30</v>
      </c>
      <c r="O15">
        <v>29</v>
      </c>
      <c r="P15" t="s">
        <v>54</v>
      </c>
      <c r="Q15" t="s">
        <v>141</v>
      </c>
      <c r="R15" t="s">
        <v>142</v>
      </c>
      <c r="S15" t="s">
        <v>111</v>
      </c>
      <c r="T15" t="s">
        <v>16</v>
      </c>
      <c r="U15">
        <v>1</v>
      </c>
      <c r="V15">
        <v>35</v>
      </c>
      <c r="W15">
        <v>77</v>
      </c>
      <c r="X15">
        <v>5</v>
      </c>
      <c r="Y15">
        <v>73.150000000000006</v>
      </c>
      <c r="Z15">
        <v>38.15</v>
      </c>
      <c r="AA15" t="s">
        <v>36</v>
      </c>
      <c r="AB15" t="s">
        <v>44</v>
      </c>
      <c r="AC15">
        <v>4</v>
      </c>
      <c r="AD15" t="s">
        <v>105</v>
      </c>
      <c r="AE15" t="s">
        <v>95</v>
      </c>
      <c r="AF15" t="str">
        <f t="shared" si="1"/>
        <v>No</v>
      </c>
    </row>
    <row r="16" spans="1:32" x14ac:dyDescent="0.3">
      <c r="A16" t="s">
        <v>143</v>
      </c>
      <c r="B16" s="1">
        <v>45715</v>
      </c>
      <c r="C16" t="s">
        <v>144</v>
      </c>
      <c r="D16">
        <f t="shared" si="0"/>
        <v>20</v>
      </c>
      <c r="E16" t="s">
        <v>145</v>
      </c>
      <c r="F16" t="s">
        <v>3</v>
      </c>
      <c r="G16" t="s">
        <v>98</v>
      </c>
      <c r="H16" t="s">
        <v>99</v>
      </c>
      <c r="I16" t="s">
        <v>100</v>
      </c>
      <c r="J16" t="s">
        <v>101</v>
      </c>
      <c r="K16" t="s">
        <v>146</v>
      </c>
      <c r="L16" t="s">
        <v>90</v>
      </c>
      <c r="M16" t="s">
        <v>65</v>
      </c>
      <c r="N16" t="s">
        <v>11</v>
      </c>
      <c r="O16">
        <v>17</v>
      </c>
      <c r="P16" t="s">
        <v>54</v>
      </c>
      <c r="Q16" t="s">
        <v>147</v>
      </c>
      <c r="R16" t="s">
        <v>148</v>
      </c>
      <c r="S16" t="s">
        <v>136</v>
      </c>
      <c r="T16" t="s">
        <v>35</v>
      </c>
      <c r="U16">
        <v>4</v>
      </c>
      <c r="V16">
        <v>58</v>
      </c>
      <c r="W16">
        <v>174</v>
      </c>
      <c r="X16">
        <v>10</v>
      </c>
      <c r="Y16">
        <v>626.4</v>
      </c>
      <c r="Z16">
        <v>394.4</v>
      </c>
      <c r="AA16" t="s">
        <v>36</v>
      </c>
      <c r="AB16" t="s">
        <v>18</v>
      </c>
      <c r="AC16">
        <v>4</v>
      </c>
      <c r="AD16" t="s">
        <v>105</v>
      </c>
      <c r="AE16" t="s">
        <v>20</v>
      </c>
      <c r="AF16" t="str">
        <f t="shared" si="1"/>
        <v>Yes</v>
      </c>
    </row>
    <row r="17" spans="1:32" x14ac:dyDescent="0.3">
      <c r="A17" t="s">
        <v>149</v>
      </c>
      <c r="B17" s="1">
        <v>45694</v>
      </c>
      <c r="C17" t="s">
        <v>113</v>
      </c>
      <c r="D17">
        <f t="shared" si="0"/>
        <v>8</v>
      </c>
      <c r="E17" t="s">
        <v>145</v>
      </c>
      <c r="F17" t="s">
        <v>3</v>
      </c>
      <c r="G17" t="s">
        <v>98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29</v>
      </c>
      <c r="N17" t="s">
        <v>30</v>
      </c>
      <c r="O17">
        <v>47</v>
      </c>
      <c r="P17" t="s">
        <v>91</v>
      </c>
      <c r="Q17" t="s">
        <v>155</v>
      </c>
      <c r="R17" t="s">
        <v>156</v>
      </c>
      <c r="S17" t="s">
        <v>34</v>
      </c>
      <c r="T17" t="s">
        <v>16</v>
      </c>
      <c r="U17">
        <v>1</v>
      </c>
      <c r="V17">
        <v>40</v>
      </c>
      <c r="W17">
        <v>100</v>
      </c>
      <c r="X17">
        <v>5</v>
      </c>
      <c r="Y17">
        <v>95</v>
      </c>
      <c r="Z17">
        <v>55</v>
      </c>
      <c r="AA17" t="s">
        <v>17</v>
      </c>
      <c r="AB17" t="s">
        <v>87</v>
      </c>
      <c r="AC17">
        <v>4</v>
      </c>
      <c r="AD17" t="s">
        <v>105</v>
      </c>
      <c r="AE17" t="s">
        <v>20</v>
      </c>
      <c r="AF17" t="str">
        <f t="shared" si="1"/>
        <v>Yes</v>
      </c>
    </row>
    <row r="18" spans="1:32" x14ac:dyDescent="0.3">
      <c r="A18" t="s">
        <v>157</v>
      </c>
      <c r="B18" s="1">
        <v>45787</v>
      </c>
      <c r="C18" t="s">
        <v>158</v>
      </c>
      <c r="D18">
        <f t="shared" si="0"/>
        <v>8</v>
      </c>
      <c r="E18" t="s">
        <v>47</v>
      </c>
      <c r="F18" t="s">
        <v>48</v>
      </c>
      <c r="G18" t="s">
        <v>132</v>
      </c>
      <c r="H18" t="s">
        <v>159</v>
      </c>
      <c r="I18" t="s">
        <v>160</v>
      </c>
      <c r="J18" t="s">
        <v>161</v>
      </c>
      <c r="K18" t="s">
        <v>51</v>
      </c>
      <c r="L18" t="s">
        <v>154</v>
      </c>
      <c r="M18" t="s">
        <v>162</v>
      </c>
      <c r="N18" t="s">
        <v>11</v>
      </c>
      <c r="O18">
        <v>56</v>
      </c>
      <c r="P18" t="s">
        <v>91</v>
      </c>
      <c r="Q18" t="s">
        <v>155</v>
      </c>
      <c r="R18" t="s">
        <v>156</v>
      </c>
      <c r="S18" t="s">
        <v>34</v>
      </c>
      <c r="T18" t="s">
        <v>16</v>
      </c>
      <c r="U18">
        <v>3</v>
      </c>
      <c r="V18">
        <v>40</v>
      </c>
      <c r="W18">
        <v>100</v>
      </c>
      <c r="X18">
        <v>0</v>
      </c>
      <c r="Y18">
        <v>300</v>
      </c>
      <c r="Z18">
        <v>180</v>
      </c>
      <c r="AA18" t="s">
        <v>69</v>
      </c>
      <c r="AB18" t="s">
        <v>87</v>
      </c>
      <c r="AC18">
        <v>5</v>
      </c>
      <c r="AD18" t="s">
        <v>105</v>
      </c>
      <c r="AE18" t="s">
        <v>95</v>
      </c>
      <c r="AF18" t="str">
        <f t="shared" si="1"/>
        <v>No</v>
      </c>
    </row>
    <row r="19" spans="1:32" x14ac:dyDescent="0.3">
      <c r="A19" t="s">
        <v>163</v>
      </c>
      <c r="B19" s="1">
        <v>45704</v>
      </c>
      <c r="C19" t="s">
        <v>22</v>
      </c>
      <c r="D19">
        <f t="shared" si="0"/>
        <v>7</v>
      </c>
      <c r="E19" t="s">
        <v>145</v>
      </c>
      <c r="F19" t="s">
        <v>3</v>
      </c>
      <c r="G19" t="s">
        <v>4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11</v>
      </c>
      <c r="O19">
        <v>29</v>
      </c>
      <c r="P19" t="s">
        <v>76</v>
      </c>
      <c r="Q19" t="s">
        <v>170</v>
      </c>
      <c r="R19" t="s">
        <v>171</v>
      </c>
      <c r="S19" t="s">
        <v>172</v>
      </c>
      <c r="T19" t="s">
        <v>35</v>
      </c>
      <c r="U19">
        <v>2</v>
      </c>
      <c r="V19">
        <v>72</v>
      </c>
      <c r="W19">
        <v>216</v>
      </c>
      <c r="X19">
        <v>0</v>
      </c>
      <c r="Y19">
        <v>432</v>
      </c>
      <c r="Z19">
        <v>288</v>
      </c>
      <c r="AA19" t="s">
        <v>36</v>
      </c>
      <c r="AB19" t="s">
        <v>18</v>
      </c>
      <c r="AC19">
        <v>5</v>
      </c>
      <c r="AD19" t="s">
        <v>19</v>
      </c>
      <c r="AE19" t="s">
        <v>95</v>
      </c>
      <c r="AF19" t="str">
        <f t="shared" si="1"/>
        <v>No</v>
      </c>
    </row>
    <row r="20" spans="1:32" x14ac:dyDescent="0.3">
      <c r="A20" t="s">
        <v>173</v>
      </c>
      <c r="B20" s="1">
        <v>45669</v>
      </c>
      <c r="C20" t="s">
        <v>174</v>
      </c>
      <c r="D20">
        <f t="shared" si="0"/>
        <v>17</v>
      </c>
      <c r="E20" t="s">
        <v>2</v>
      </c>
      <c r="F20" t="s">
        <v>3</v>
      </c>
      <c r="G20" t="s">
        <v>4</v>
      </c>
      <c r="H20" t="s">
        <v>61</v>
      </c>
      <c r="I20" t="s">
        <v>62</v>
      </c>
      <c r="J20" t="s">
        <v>7</v>
      </c>
      <c r="K20" t="s">
        <v>27</v>
      </c>
      <c r="L20" t="s">
        <v>175</v>
      </c>
      <c r="M20" t="s">
        <v>169</v>
      </c>
      <c r="N20" t="s">
        <v>11</v>
      </c>
      <c r="O20">
        <v>60</v>
      </c>
      <c r="P20" t="s">
        <v>12</v>
      </c>
      <c r="Q20" t="s">
        <v>176</v>
      </c>
      <c r="R20" t="s">
        <v>177</v>
      </c>
      <c r="S20" t="s">
        <v>178</v>
      </c>
      <c r="T20" t="s">
        <v>16</v>
      </c>
      <c r="U20">
        <v>1</v>
      </c>
      <c r="V20">
        <v>56</v>
      </c>
      <c r="W20">
        <v>156.80000000000001</v>
      </c>
      <c r="X20">
        <v>5</v>
      </c>
      <c r="Y20">
        <v>148.96</v>
      </c>
      <c r="Z20">
        <v>92.96</v>
      </c>
      <c r="AA20" t="s">
        <v>179</v>
      </c>
      <c r="AB20" t="s">
        <v>129</v>
      </c>
      <c r="AC20">
        <v>3</v>
      </c>
      <c r="AD20" t="s">
        <v>19</v>
      </c>
      <c r="AE20" t="s">
        <v>20</v>
      </c>
      <c r="AF20" t="str">
        <f t="shared" si="1"/>
        <v>Yes</v>
      </c>
    </row>
    <row r="21" spans="1:32" x14ac:dyDescent="0.3">
      <c r="A21" t="s">
        <v>180</v>
      </c>
      <c r="B21" s="1">
        <v>45748</v>
      </c>
      <c r="C21" t="s">
        <v>80</v>
      </c>
      <c r="D21">
        <f t="shared" si="0"/>
        <v>10</v>
      </c>
      <c r="E21" t="s">
        <v>60</v>
      </c>
      <c r="F21" t="s">
        <v>48</v>
      </c>
      <c r="G21" t="s">
        <v>181</v>
      </c>
      <c r="H21" t="s">
        <v>49</v>
      </c>
      <c r="I21" t="s">
        <v>50</v>
      </c>
      <c r="J21" t="s">
        <v>7</v>
      </c>
      <c r="K21" t="s">
        <v>182</v>
      </c>
      <c r="L21" t="s">
        <v>183</v>
      </c>
      <c r="M21" t="s">
        <v>184</v>
      </c>
      <c r="N21" t="s">
        <v>30</v>
      </c>
      <c r="O21">
        <v>55</v>
      </c>
      <c r="P21" t="s">
        <v>91</v>
      </c>
      <c r="Q21" t="s">
        <v>185</v>
      </c>
      <c r="R21" t="s">
        <v>186</v>
      </c>
      <c r="S21" t="s">
        <v>187</v>
      </c>
      <c r="T21" t="s">
        <v>35</v>
      </c>
      <c r="U21">
        <v>4</v>
      </c>
      <c r="V21">
        <v>57</v>
      </c>
      <c r="W21">
        <v>159.6</v>
      </c>
      <c r="X21">
        <v>15</v>
      </c>
      <c r="Y21">
        <v>542.64</v>
      </c>
      <c r="Z21">
        <v>314.64</v>
      </c>
      <c r="AA21" t="s">
        <v>17</v>
      </c>
      <c r="AB21" t="s">
        <v>119</v>
      </c>
      <c r="AC21">
        <v>4</v>
      </c>
      <c r="AD21" t="s">
        <v>19</v>
      </c>
      <c r="AE21" t="s">
        <v>20</v>
      </c>
      <c r="AF21" t="str">
        <f t="shared" si="1"/>
        <v>Yes</v>
      </c>
    </row>
    <row r="22" spans="1:32" x14ac:dyDescent="0.3">
      <c r="A22" t="s">
        <v>188</v>
      </c>
      <c r="B22" s="1">
        <v>45665</v>
      </c>
      <c r="C22" t="s">
        <v>189</v>
      </c>
      <c r="D22">
        <f t="shared" si="0"/>
        <v>9</v>
      </c>
      <c r="E22" t="s">
        <v>2</v>
      </c>
      <c r="F22" t="s">
        <v>3</v>
      </c>
      <c r="G22" t="s">
        <v>73</v>
      </c>
      <c r="H22" t="s">
        <v>122</v>
      </c>
      <c r="I22" t="s">
        <v>123</v>
      </c>
      <c r="J22" t="s">
        <v>7</v>
      </c>
      <c r="K22" t="s">
        <v>138</v>
      </c>
      <c r="L22" t="s">
        <v>102</v>
      </c>
      <c r="M22" t="s">
        <v>169</v>
      </c>
      <c r="N22" t="s">
        <v>11</v>
      </c>
      <c r="O22">
        <v>47</v>
      </c>
      <c r="P22" t="s">
        <v>31</v>
      </c>
      <c r="Q22" t="s">
        <v>103</v>
      </c>
      <c r="R22" t="s">
        <v>104</v>
      </c>
      <c r="S22" t="s">
        <v>94</v>
      </c>
      <c r="T22" t="s">
        <v>35</v>
      </c>
      <c r="U22">
        <v>4</v>
      </c>
      <c r="V22">
        <v>57</v>
      </c>
      <c r="W22">
        <v>159.6</v>
      </c>
      <c r="X22">
        <v>5</v>
      </c>
      <c r="Y22">
        <v>606.48</v>
      </c>
      <c r="Z22">
        <v>378.48</v>
      </c>
      <c r="AA22" t="s">
        <v>17</v>
      </c>
      <c r="AB22" t="s">
        <v>129</v>
      </c>
      <c r="AC22">
        <v>5</v>
      </c>
      <c r="AD22" t="s">
        <v>105</v>
      </c>
      <c r="AE22" t="s">
        <v>95</v>
      </c>
      <c r="AF22" t="str">
        <f t="shared" si="1"/>
        <v>No</v>
      </c>
    </row>
    <row r="23" spans="1:32" x14ac:dyDescent="0.3">
      <c r="A23" t="s">
        <v>190</v>
      </c>
      <c r="B23" s="1">
        <v>45741</v>
      </c>
      <c r="C23" t="s">
        <v>191</v>
      </c>
      <c r="D23">
        <f t="shared" si="0"/>
        <v>19</v>
      </c>
      <c r="E23" t="s">
        <v>72</v>
      </c>
      <c r="F23" t="s">
        <v>3</v>
      </c>
      <c r="G23" t="s">
        <v>181</v>
      </c>
      <c r="H23" t="s">
        <v>61</v>
      </c>
      <c r="I23" t="s">
        <v>62</v>
      </c>
      <c r="J23" t="s">
        <v>7</v>
      </c>
      <c r="K23" t="s">
        <v>124</v>
      </c>
      <c r="L23" t="s">
        <v>192</v>
      </c>
      <c r="M23" t="s">
        <v>10</v>
      </c>
      <c r="N23" t="s">
        <v>30</v>
      </c>
      <c r="O23">
        <v>56</v>
      </c>
      <c r="P23" t="s">
        <v>54</v>
      </c>
      <c r="Q23" t="s">
        <v>193</v>
      </c>
      <c r="R23" t="s">
        <v>194</v>
      </c>
      <c r="S23" t="s">
        <v>172</v>
      </c>
      <c r="T23" t="s">
        <v>35</v>
      </c>
      <c r="U23">
        <v>1</v>
      </c>
      <c r="V23">
        <v>35</v>
      </c>
      <c r="W23">
        <v>87.5</v>
      </c>
      <c r="X23">
        <v>0</v>
      </c>
      <c r="Y23">
        <v>87.5</v>
      </c>
      <c r="Z23">
        <v>52.5</v>
      </c>
      <c r="AA23" t="s">
        <v>36</v>
      </c>
      <c r="AB23" t="s">
        <v>37</v>
      </c>
      <c r="AC23">
        <v>4</v>
      </c>
      <c r="AD23" t="s">
        <v>105</v>
      </c>
      <c r="AE23" t="s">
        <v>20</v>
      </c>
      <c r="AF23" t="str">
        <f t="shared" si="1"/>
        <v>Yes</v>
      </c>
    </row>
    <row r="24" spans="1:32" x14ac:dyDescent="0.3">
      <c r="A24" t="s">
        <v>195</v>
      </c>
      <c r="B24" s="1">
        <v>45825</v>
      </c>
      <c r="C24" t="s">
        <v>158</v>
      </c>
      <c r="D24">
        <f t="shared" si="0"/>
        <v>8</v>
      </c>
      <c r="E24" t="s">
        <v>131</v>
      </c>
      <c r="F24" t="s">
        <v>48</v>
      </c>
      <c r="G24" t="s">
        <v>181</v>
      </c>
      <c r="H24" t="s">
        <v>61</v>
      </c>
      <c r="I24" t="s">
        <v>62</v>
      </c>
      <c r="J24" t="s">
        <v>7</v>
      </c>
      <c r="K24" t="s">
        <v>196</v>
      </c>
      <c r="L24" t="s">
        <v>197</v>
      </c>
      <c r="M24" t="s">
        <v>53</v>
      </c>
      <c r="N24" t="s">
        <v>11</v>
      </c>
      <c r="O24">
        <v>63</v>
      </c>
      <c r="P24" t="s">
        <v>12</v>
      </c>
      <c r="Q24" t="s">
        <v>66</v>
      </c>
      <c r="R24" t="s">
        <v>67</v>
      </c>
      <c r="S24" t="s">
        <v>68</v>
      </c>
      <c r="T24" t="s">
        <v>16</v>
      </c>
      <c r="U24">
        <v>4</v>
      </c>
      <c r="V24">
        <v>43</v>
      </c>
      <c r="W24">
        <v>120.4</v>
      </c>
      <c r="X24">
        <v>5</v>
      </c>
      <c r="Y24">
        <v>457.52</v>
      </c>
      <c r="Z24">
        <v>285.52</v>
      </c>
      <c r="AA24" t="s">
        <v>69</v>
      </c>
      <c r="AB24" t="s">
        <v>87</v>
      </c>
      <c r="AC24">
        <v>3</v>
      </c>
      <c r="AD24" t="s">
        <v>105</v>
      </c>
      <c r="AE24" t="s">
        <v>95</v>
      </c>
      <c r="AF24" t="str">
        <f t="shared" si="1"/>
        <v>No</v>
      </c>
    </row>
    <row r="25" spans="1:32" x14ac:dyDescent="0.3">
      <c r="A25" t="s">
        <v>198</v>
      </c>
      <c r="B25" s="1">
        <v>45814</v>
      </c>
      <c r="C25" t="s">
        <v>199</v>
      </c>
      <c r="D25">
        <f t="shared" si="0"/>
        <v>10</v>
      </c>
      <c r="E25" t="s">
        <v>131</v>
      </c>
      <c r="F25" t="s">
        <v>48</v>
      </c>
      <c r="G25" t="s">
        <v>40</v>
      </c>
      <c r="H25" t="s">
        <v>24</v>
      </c>
      <c r="I25" t="s">
        <v>25</v>
      </c>
      <c r="J25" t="s">
        <v>26</v>
      </c>
      <c r="K25" t="s">
        <v>196</v>
      </c>
      <c r="L25" t="s">
        <v>200</v>
      </c>
      <c r="M25" t="s">
        <v>53</v>
      </c>
      <c r="N25" t="s">
        <v>11</v>
      </c>
      <c r="O25">
        <v>60</v>
      </c>
      <c r="P25" t="s">
        <v>31</v>
      </c>
      <c r="Q25" t="s">
        <v>103</v>
      </c>
      <c r="R25" t="s">
        <v>104</v>
      </c>
      <c r="S25" t="s">
        <v>94</v>
      </c>
      <c r="T25" t="s">
        <v>35</v>
      </c>
      <c r="U25">
        <v>1</v>
      </c>
      <c r="V25">
        <v>57</v>
      </c>
      <c r="W25">
        <v>159.6</v>
      </c>
      <c r="X25">
        <v>5</v>
      </c>
      <c r="Y25">
        <v>151.62</v>
      </c>
      <c r="Z25">
        <v>94.62</v>
      </c>
      <c r="AA25" t="s">
        <v>17</v>
      </c>
      <c r="AB25" t="s">
        <v>119</v>
      </c>
      <c r="AD25" t="s">
        <v>19</v>
      </c>
      <c r="AE25" t="s">
        <v>20</v>
      </c>
      <c r="AF25" t="str">
        <f t="shared" si="1"/>
        <v>Yes</v>
      </c>
    </row>
    <row r="26" spans="1:32" x14ac:dyDescent="0.3">
      <c r="A26" t="s">
        <v>201</v>
      </c>
      <c r="B26" s="1">
        <v>45692</v>
      </c>
      <c r="C26" t="s">
        <v>202</v>
      </c>
      <c r="D26">
        <f t="shared" si="0"/>
        <v>11</v>
      </c>
      <c r="E26" t="s">
        <v>145</v>
      </c>
      <c r="F26" t="s">
        <v>3</v>
      </c>
      <c r="G26" t="s">
        <v>181</v>
      </c>
      <c r="H26" t="s">
        <v>24</v>
      </c>
      <c r="I26" t="s">
        <v>25</v>
      </c>
      <c r="J26" t="s">
        <v>26</v>
      </c>
      <c r="K26" t="s">
        <v>146</v>
      </c>
      <c r="L26" t="s">
        <v>203</v>
      </c>
      <c r="M26" t="s">
        <v>169</v>
      </c>
      <c r="N26" t="s">
        <v>11</v>
      </c>
      <c r="O26">
        <v>51</v>
      </c>
      <c r="P26" t="s">
        <v>54</v>
      </c>
      <c r="Q26" t="s">
        <v>204</v>
      </c>
      <c r="R26" t="s">
        <v>205</v>
      </c>
      <c r="S26" t="s">
        <v>118</v>
      </c>
      <c r="T26" t="s">
        <v>35</v>
      </c>
      <c r="U26">
        <v>1</v>
      </c>
      <c r="V26">
        <v>59</v>
      </c>
      <c r="W26">
        <v>177</v>
      </c>
      <c r="X26">
        <v>5</v>
      </c>
      <c r="Y26">
        <v>168.15</v>
      </c>
      <c r="Z26">
        <v>109.15</v>
      </c>
      <c r="AA26" t="s">
        <v>17</v>
      </c>
      <c r="AB26" t="s">
        <v>87</v>
      </c>
      <c r="AC26">
        <v>3</v>
      </c>
      <c r="AD26" t="s">
        <v>19</v>
      </c>
      <c r="AE26" t="s">
        <v>20</v>
      </c>
      <c r="AF26" t="str">
        <f t="shared" si="1"/>
        <v>Yes</v>
      </c>
    </row>
    <row r="27" spans="1:32" x14ac:dyDescent="0.3">
      <c r="A27" t="s">
        <v>206</v>
      </c>
      <c r="B27" s="1">
        <v>45722</v>
      </c>
      <c r="C27" t="s">
        <v>207</v>
      </c>
      <c r="D27">
        <f t="shared" si="0"/>
        <v>20</v>
      </c>
      <c r="E27" t="s">
        <v>72</v>
      </c>
      <c r="F27" t="s">
        <v>3</v>
      </c>
      <c r="G27" t="s">
        <v>98</v>
      </c>
      <c r="H27" t="s">
        <v>49</v>
      </c>
      <c r="I27" t="s">
        <v>50</v>
      </c>
      <c r="J27" t="s">
        <v>7</v>
      </c>
      <c r="K27" t="s">
        <v>63</v>
      </c>
      <c r="L27" t="s">
        <v>208</v>
      </c>
      <c r="M27" t="s">
        <v>65</v>
      </c>
      <c r="N27" t="s">
        <v>11</v>
      </c>
      <c r="O27">
        <v>44</v>
      </c>
      <c r="P27" t="s">
        <v>76</v>
      </c>
      <c r="Q27" t="s">
        <v>92</v>
      </c>
      <c r="R27" t="s">
        <v>93</v>
      </c>
      <c r="S27" t="s">
        <v>94</v>
      </c>
      <c r="T27" t="s">
        <v>16</v>
      </c>
      <c r="U27">
        <v>1</v>
      </c>
      <c r="V27">
        <v>85</v>
      </c>
      <c r="W27">
        <v>255</v>
      </c>
      <c r="X27">
        <v>15</v>
      </c>
      <c r="Y27">
        <v>216.75</v>
      </c>
      <c r="Z27">
        <v>131.75</v>
      </c>
      <c r="AA27" t="s">
        <v>69</v>
      </c>
      <c r="AB27" t="s">
        <v>87</v>
      </c>
      <c r="AC27">
        <v>5</v>
      </c>
      <c r="AD27" t="s">
        <v>105</v>
      </c>
      <c r="AE27" t="s">
        <v>95</v>
      </c>
      <c r="AF27" t="str">
        <f t="shared" si="1"/>
        <v>No</v>
      </c>
    </row>
    <row r="28" spans="1:32" x14ac:dyDescent="0.3">
      <c r="A28" t="s">
        <v>209</v>
      </c>
      <c r="B28" s="1">
        <v>45727</v>
      </c>
      <c r="C28" t="s">
        <v>199</v>
      </c>
      <c r="D28">
        <f t="shared" si="0"/>
        <v>10</v>
      </c>
      <c r="E28" t="s">
        <v>72</v>
      </c>
      <c r="F28" t="s">
        <v>3</v>
      </c>
      <c r="G28" t="s">
        <v>181</v>
      </c>
      <c r="H28" t="s">
        <v>99</v>
      </c>
      <c r="I28" t="s">
        <v>100</v>
      </c>
      <c r="J28" t="s">
        <v>101</v>
      </c>
      <c r="K28" t="s">
        <v>107</v>
      </c>
      <c r="L28" t="s">
        <v>210</v>
      </c>
      <c r="M28" t="s">
        <v>140</v>
      </c>
      <c r="N28" t="s">
        <v>11</v>
      </c>
      <c r="O28">
        <v>57</v>
      </c>
      <c r="P28" t="s">
        <v>12</v>
      </c>
      <c r="Q28" t="s">
        <v>211</v>
      </c>
      <c r="R28" t="s">
        <v>212</v>
      </c>
      <c r="S28" t="s">
        <v>128</v>
      </c>
      <c r="T28" t="s">
        <v>16</v>
      </c>
      <c r="U28">
        <v>3</v>
      </c>
      <c r="V28">
        <v>50</v>
      </c>
      <c r="W28">
        <v>140</v>
      </c>
      <c r="X28">
        <v>15</v>
      </c>
      <c r="Y28">
        <v>357</v>
      </c>
      <c r="Z28">
        <v>207</v>
      </c>
      <c r="AA28" t="s">
        <v>17</v>
      </c>
      <c r="AB28" t="s">
        <v>119</v>
      </c>
      <c r="AD28" t="s">
        <v>19</v>
      </c>
      <c r="AE28" t="s">
        <v>20</v>
      </c>
      <c r="AF28" t="str">
        <f t="shared" si="1"/>
        <v>Yes</v>
      </c>
    </row>
    <row r="29" spans="1:32" x14ac:dyDescent="0.3">
      <c r="A29" t="s">
        <v>213</v>
      </c>
      <c r="B29" s="1">
        <v>45761</v>
      </c>
      <c r="C29" t="s">
        <v>214</v>
      </c>
      <c r="D29">
        <f t="shared" si="0"/>
        <v>7</v>
      </c>
      <c r="E29" t="s">
        <v>60</v>
      </c>
      <c r="F29" t="s">
        <v>48</v>
      </c>
      <c r="G29" t="s">
        <v>23</v>
      </c>
      <c r="H29" t="s">
        <v>159</v>
      </c>
      <c r="I29" t="s">
        <v>160</v>
      </c>
      <c r="J29" t="s">
        <v>161</v>
      </c>
      <c r="K29" t="s">
        <v>196</v>
      </c>
      <c r="L29" t="s">
        <v>215</v>
      </c>
      <c r="M29" t="s">
        <v>169</v>
      </c>
      <c r="N29" t="s">
        <v>11</v>
      </c>
      <c r="O29">
        <v>19</v>
      </c>
      <c r="P29" t="s">
        <v>31</v>
      </c>
      <c r="Q29" t="s">
        <v>216</v>
      </c>
      <c r="R29" t="s">
        <v>217</v>
      </c>
      <c r="S29" t="s">
        <v>218</v>
      </c>
      <c r="T29" t="s">
        <v>35</v>
      </c>
      <c r="U29">
        <v>3</v>
      </c>
      <c r="V29">
        <v>67</v>
      </c>
      <c r="W29">
        <v>187.6</v>
      </c>
      <c r="X29">
        <v>15</v>
      </c>
      <c r="Y29">
        <v>478.38</v>
      </c>
      <c r="Z29">
        <v>277.38</v>
      </c>
      <c r="AA29" t="s">
        <v>179</v>
      </c>
      <c r="AB29" t="s">
        <v>87</v>
      </c>
      <c r="AD29" t="s">
        <v>105</v>
      </c>
      <c r="AE29" t="s">
        <v>95</v>
      </c>
      <c r="AF29" t="str">
        <f t="shared" si="1"/>
        <v>No</v>
      </c>
    </row>
    <row r="30" spans="1:32" x14ac:dyDescent="0.3">
      <c r="A30" t="s">
        <v>219</v>
      </c>
      <c r="B30" s="1">
        <v>45739</v>
      </c>
      <c r="C30" t="s">
        <v>191</v>
      </c>
      <c r="D30">
        <f t="shared" si="0"/>
        <v>19</v>
      </c>
      <c r="E30" t="s">
        <v>72</v>
      </c>
      <c r="F30" t="s">
        <v>3</v>
      </c>
      <c r="G30" t="s">
        <v>4</v>
      </c>
      <c r="H30" t="s">
        <v>61</v>
      </c>
      <c r="I30" t="s">
        <v>62</v>
      </c>
      <c r="J30" t="s">
        <v>7</v>
      </c>
      <c r="K30" t="s">
        <v>182</v>
      </c>
      <c r="L30" t="s">
        <v>220</v>
      </c>
      <c r="M30" t="s">
        <v>53</v>
      </c>
      <c r="N30" t="s">
        <v>30</v>
      </c>
      <c r="O30">
        <v>65</v>
      </c>
      <c r="P30" t="s">
        <v>76</v>
      </c>
      <c r="Q30" t="s">
        <v>126</v>
      </c>
      <c r="R30" t="s">
        <v>127</v>
      </c>
      <c r="S30" t="s">
        <v>128</v>
      </c>
      <c r="T30" t="s">
        <v>35</v>
      </c>
      <c r="U30">
        <v>3</v>
      </c>
      <c r="V30">
        <v>69</v>
      </c>
      <c r="W30">
        <v>193.2</v>
      </c>
      <c r="X30">
        <v>15</v>
      </c>
      <c r="Y30">
        <v>492.66</v>
      </c>
      <c r="Z30">
        <v>285.66000000000003</v>
      </c>
      <c r="AA30" t="s">
        <v>69</v>
      </c>
      <c r="AB30" t="s">
        <v>37</v>
      </c>
      <c r="AC30">
        <v>4</v>
      </c>
      <c r="AD30" t="s">
        <v>19</v>
      </c>
      <c r="AE30" t="s">
        <v>20</v>
      </c>
      <c r="AF30" t="str">
        <f t="shared" si="1"/>
        <v>Yes</v>
      </c>
    </row>
    <row r="31" spans="1:32" x14ac:dyDescent="0.3">
      <c r="A31" t="s">
        <v>221</v>
      </c>
      <c r="B31" s="1">
        <v>45704</v>
      </c>
      <c r="C31" t="s">
        <v>22</v>
      </c>
      <c r="D31">
        <f t="shared" si="0"/>
        <v>7</v>
      </c>
      <c r="E31" t="s">
        <v>145</v>
      </c>
      <c r="F31" t="s">
        <v>3</v>
      </c>
      <c r="G31" t="s">
        <v>4</v>
      </c>
      <c r="H31" t="s">
        <v>49</v>
      </c>
      <c r="I31" t="s">
        <v>50</v>
      </c>
      <c r="J31" t="s">
        <v>7</v>
      </c>
      <c r="K31" t="s">
        <v>138</v>
      </c>
      <c r="L31" t="s">
        <v>222</v>
      </c>
      <c r="M31" t="s">
        <v>65</v>
      </c>
      <c r="N31" t="s">
        <v>11</v>
      </c>
      <c r="O31">
        <v>23</v>
      </c>
      <c r="P31" t="s">
        <v>91</v>
      </c>
      <c r="Q31" t="s">
        <v>211</v>
      </c>
      <c r="R31" t="s">
        <v>212</v>
      </c>
      <c r="S31" t="s">
        <v>128</v>
      </c>
      <c r="T31" t="s">
        <v>16</v>
      </c>
      <c r="U31">
        <v>4</v>
      </c>
      <c r="V31">
        <v>50</v>
      </c>
      <c r="W31">
        <v>140</v>
      </c>
      <c r="X31">
        <v>10</v>
      </c>
      <c r="Y31">
        <v>504</v>
      </c>
      <c r="Z31">
        <v>304</v>
      </c>
      <c r="AA31" t="s">
        <v>36</v>
      </c>
      <c r="AB31" t="s">
        <v>44</v>
      </c>
      <c r="AC31">
        <v>5</v>
      </c>
      <c r="AD31" t="s">
        <v>19</v>
      </c>
      <c r="AE31" t="s">
        <v>20</v>
      </c>
      <c r="AF31" t="str">
        <f t="shared" si="1"/>
        <v>Yes</v>
      </c>
    </row>
    <row r="32" spans="1:32" x14ac:dyDescent="0.3">
      <c r="A32" t="s">
        <v>223</v>
      </c>
      <c r="B32" s="1">
        <v>45664</v>
      </c>
      <c r="C32" t="s">
        <v>158</v>
      </c>
      <c r="D32">
        <f t="shared" si="0"/>
        <v>8</v>
      </c>
      <c r="E32" t="s">
        <v>2</v>
      </c>
      <c r="F32" t="s">
        <v>3</v>
      </c>
      <c r="G32" t="s">
        <v>181</v>
      </c>
      <c r="H32" t="s">
        <v>49</v>
      </c>
      <c r="I32" t="s">
        <v>50</v>
      </c>
      <c r="J32" t="s">
        <v>7</v>
      </c>
      <c r="K32" t="s">
        <v>8</v>
      </c>
      <c r="L32" t="s">
        <v>224</v>
      </c>
      <c r="M32" t="s">
        <v>225</v>
      </c>
      <c r="N32" t="s">
        <v>30</v>
      </c>
      <c r="O32">
        <v>53</v>
      </c>
      <c r="P32" t="s">
        <v>91</v>
      </c>
      <c r="Q32" t="s">
        <v>226</v>
      </c>
      <c r="R32" t="s">
        <v>227</v>
      </c>
      <c r="S32" t="s">
        <v>68</v>
      </c>
      <c r="T32" t="s">
        <v>35</v>
      </c>
      <c r="U32">
        <v>3</v>
      </c>
      <c r="V32">
        <v>43</v>
      </c>
      <c r="W32">
        <v>94.6</v>
      </c>
      <c r="X32">
        <v>10</v>
      </c>
      <c r="Y32">
        <v>255.42</v>
      </c>
      <c r="Z32">
        <v>126.42</v>
      </c>
      <c r="AA32" t="s">
        <v>17</v>
      </c>
      <c r="AB32" t="s">
        <v>87</v>
      </c>
      <c r="AC32">
        <v>4</v>
      </c>
      <c r="AD32" t="s">
        <v>105</v>
      </c>
      <c r="AE32" t="s">
        <v>20</v>
      </c>
      <c r="AF32" t="str">
        <f t="shared" si="1"/>
        <v>Yes</v>
      </c>
    </row>
    <row r="33" spans="1:32" x14ac:dyDescent="0.3">
      <c r="A33" t="s">
        <v>228</v>
      </c>
      <c r="B33" s="1">
        <v>45741</v>
      </c>
      <c r="C33" t="s">
        <v>214</v>
      </c>
      <c r="D33">
        <f t="shared" si="0"/>
        <v>7</v>
      </c>
      <c r="E33" t="s">
        <v>72</v>
      </c>
      <c r="F33" t="s">
        <v>3</v>
      </c>
      <c r="G33" t="s">
        <v>181</v>
      </c>
      <c r="H33" t="s">
        <v>99</v>
      </c>
      <c r="I33" t="s">
        <v>100</v>
      </c>
      <c r="J33" t="s">
        <v>101</v>
      </c>
      <c r="K33" t="s">
        <v>229</v>
      </c>
      <c r="L33" t="s">
        <v>115</v>
      </c>
      <c r="M33" t="s">
        <v>162</v>
      </c>
      <c r="N33" t="s">
        <v>11</v>
      </c>
      <c r="O33">
        <v>37</v>
      </c>
      <c r="P33" t="s">
        <v>12</v>
      </c>
      <c r="Q33" t="s">
        <v>230</v>
      </c>
      <c r="R33" t="s">
        <v>231</v>
      </c>
      <c r="S33" t="s">
        <v>128</v>
      </c>
      <c r="T33" t="s">
        <v>35</v>
      </c>
      <c r="U33">
        <v>2</v>
      </c>
      <c r="V33">
        <v>62</v>
      </c>
      <c r="W33">
        <v>186</v>
      </c>
      <c r="X33">
        <v>10</v>
      </c>
      <c r="Y33">
        <v>334.8</v>
      </c>
      <c r="Z33">
        <v>210.8</v>
      </c>
      <c r="AA33" t="s">
        <v>36</v>
      </c>
      <c r="AB33" t="s">
        <v>18</v>
      </c>
      <c r="AC33">
        <v>4</v>
      </c>
      <c r="AD33" t="s">
        <v>19</v>
      </c>
      <c r="AE33" t="s">
        <v>20</v>
      </c>
      <c r="AF33" t="str">
        <f t="shared" si="1"/>
        <v>Yes</v>
      </c>
    </row>
    <row r="34" spans="1:32" x14ac:dyDescent="0.3">
      <c r="A34" t="s">
        <v>232</v>
      </c>
      <c r="B34" s="1">
        <v>45768</v>
      </c>
      <c r="C34" t="s">
        <v>233</v>
      </c>
      <c r="D34">
        <f t="shared" si="0"/>
        <v>18</v>
      </c>
      <c r="E34" t="s">
        <v>60</v>
      </c>
      <c r="F34" t="s">
        <v>48</v>
      </c>
      <c r="G34" t="s">
        <v>23</v>
      </c>
      <c r="H34" t="s">
        <v>49</v>
      </c>
      <c r="I34" t="s">
        <v>50</v>
      </c>
      <c r="J34" t="s">
        <v>7</v>
      </c>
      <c r="K34" t="s">
        <v>51</v>
      </c>
      <c r="L34" t="s">
        <v>234</v>
      </c>
      <c r="M34" t="s">
        <v>184</v>
      </c>
      <c r="N34" t="s">
        <v>30</v>
      </c>
      <c r="O34">
        <v>46</v>
      </c>
      <c r="P34" t="s">
        <v>54</v>
      </c>
      <c r="Q34" t="s">
        <v>235</v>
      </c>
      <c r="R34" t="s">
        <v>236</v>
      </c>
      <c r="S34" t="s">
        <v>237</v>
      </c>
      <c r="T34" t="s">
        <v>35</v>
      </c>
      <c r="U34">
        <v>1</v>
      </c>
      <c r="V34">
        <v>22</v>
      </c>
      <c r="W34">
        <v>61.6</v>
      </c>
      <c r="X34">
        <v>10</v>
      </c>
      <c r="Y34">
        <v>55.44</v>
      </c>
      <c r="Z34">
        <v>33.44</v>
      </c>
      <c r="AA34" t="s">
        <v>179</v>
      </c>
      <c r="AB34" t="s">
        <v>129</v>
      </c>
      <c r="AC34">
        <v>5</v>
      </c>
      <c r="AD34" t="s">
        <v>105</v>
      </c>
      <c r="AE34" t="s">
        <v>20</v>
      </c>
      <c r="AF34" t="str">
        <f t="shared" si="1"/>
        <v>Yes</v>
      </c>
    </row>
    <row r="35" spans="1:32" x14ac:dyDescent="0.3">
      <c r="A35" t="s">
        <v>238</v>
      </c>
      <c r="B35" s="1">
        <v>45693</v>
      </c>
      <c r="C35" t="s">
        <v>233</v>
      </c>
      <c r="D35">
        <f t="shared" si="0"/>
        <v>18</v>
      </c>
      <c r="E35" t="s">
        <v>145</v>
      </c>
      <c r="F35" t="s">
        <v>3</v>
      </c>
      <c r="G35" t="s">
        <v>73</v>
      </c>
      <c r="H35" t="s">
        <v>150</v>
      </c>
      <c r="I35" t="s">
        <v>151</v>
      </c>
      <c r="J35" t="s">
        <v>152</v>
      </c>
      <c r="K35" t="s">
        <v>83</v>
      </c>
      <c r="L35" t="s">
        <v>239</v>
      </c>
      <c r="M35" t="s">
        <v>225</v>
      </c>
      <c r="N35" t="s">
        <v>30</v>
      </c>
      <c r="O35">
        <v>26</v>
      </c>
      <c r="P35" t="s">
        <v>54</v>
      </c>
      <c r="Q35" t="s">
        <v>240</v>
      </c>
      <c r="R35" t="s">
        <v>241</v>
      </c>
      <c r="S35" t="s">
        <v>242</v>
      </c>
      <c r="T35" t="s">
        <v>35</v>
      </c>
      <c r="U35">
        <v>1</v>
      </c>
      <c r="V35">
        <v>89</v>
      </c>
      <c r="W35">
        <v>267</v>
      </c>
      <c r="X35">
        <v>15</v>
      </c>
      <c r="Y35">
        <v>226.95</v>
      </c>
      <c r="Z35">
        <v>137.94999999999999</v>
      </c>
      <c r="AA35" t="s">
        <v>36</v>
      </c>
      <c r="AB35" t="s">
        <v>129</v>
      </c>
      <c r="AC35">
        <v>3</v>
      </c>
      <c r="AD35" t="s">
        <v>19</v>
      </c>
      <c r="AE35" t="s">
        <v>20</v>
      </c>
      <c r="AF35" t="str">
        <f t="shared" si="1"/>
        <v>Yes</v>
      </c>
    </row>
    <row r="36" spans="1:32" x14ac:dyDescent="0.3">
      <c r="A36" t="s">
        <v>243</v>
      </c>
      <c r="B36" s="1">
        <v>45681</v>
      </c>
      <c r="C36" t="s">
        <v>244</v>
      </c>
      <c r="D36">
        <f t="shared" si="0"/>
        <v>20</v>
      </c>
      <c r="E36" t="s">
        <v>2</v>
      </c>
      <c r="F36" t="s">
        <v>3</v>
      </c>
      <c r="G36" t="s">
        <v>40</v>
      </c>
      <c r="H36" t="s">
        <v>61</v>
      </c>
      <c r="I36" t="s">
        <v>62</v>
      </c>
      <c r="J36" t="s">
        <v>7</v>
      </c>
      <c r="K36" t="s">
        <v>245</v>
      </c>
      <c r="L36" t="s">
        <v>246</v>
      </c>
      <c r="M36" t="s">
        <v>29</v>
      </c>
      <c r="N36" t="s">
        <v>11</v>
      </c>
      <c r="O36">
        <v>50</v>
      </c>
      <c r="P36" t="s">
        <v>91</v>
      </c>
      <c r="Q36" t="s">
        <v>230</v>
      </c>
      <c r="R36" t="s">
        <v>231</v>
      </c>
      <c r="S36" t="s">
        <v>128</v>
      </c>
      <c r="T36" t="s">
        <v>35</v>
      </c>
      <c r="U36">
        <v>4</v>
      </c>
      <c r="V36">
        <v>62</v>
      </c>
      <c r="W36">
        <v>186</v>
      </c>
      <c r="X36">
        <v>0</v>
      </c>
      <c r="Y36">
        <v>744</v>
      </c>
      <c r="Z36">
        <v>496</v>
      </c>
      <c r="AA36" t="s">
        <v>36</v>
      </c>
      <c r="AB36" t="s">
        <v>18</v>
      </c>
      <c r="AC36">
        <v>3</v>
      </c>
      <c r="AD36" t="s">
        <v>105</v>
      </c>
      <c r="AE36" t="s">
        <v>95</v>
      </c>
      <c r="AF36" t="str">
        <f t="shared" si="1"/>
        <v>No</v>
      </c>
    </row>
    <row r="37" spans="1:32" x14ac:dyDescent="0.3">
      <c r="A37" t="s">
        <v>247</v>
      </c>
      <c r="B37" s="1">
        <v>45828</v>
      </c>
      <c r="C37" t="s">
        <v>121</v>
      </c>
      <c r="D37">
        <f t="shared" si="0"/>
        <v>9</v>
      </c>
      <c r="E37" t="s">
        <v>131</v>
      </c>
      <c r="F37" t="s">
        <v>48</v>
      </c>
      <c r="G37" t="s">
        <v>40</v>
      </c>
      <c r="H37" t="s">
        <v>164</v>
      </c>
      <c r="I37" t="s">
        <v>165</v>
      </c>
      <c r="J37" t="s">
        <v>166</v>
      </c>
      <c r="K37" t="s">
        <v>41</v>
      </c>
      <c r="L37" t="s">
        <v>248</v>
      </c>
      <c r="M37" t="s">
        <v>53</v>
      </c>
      <c r="N37" t="s">
        <v>11</v>
      </c>
      <c r="O37">
        <v>61</v>
      </c>
      <c r="P37" t="s">
        <v>76</v>
      </c>
      <c r="Q37" t="s">
        <v>66</v>
      </c>
      <c r="R37" t="s">
        <v>67</v>
      </c>
      <c r="S37" t="s">
        <v>68</v>
      </c>
      <c r="T37" t="s">
        <v>16</v>
      </c>
      <c r="U37">
        <v>4</v>
      </c>
      <c r="V37">
        <v>43</v>
      </c>
      <c r="W37">
        <v>120.4</v>
      </c>
      <c r="X37">
        <v>0</v>
      </c>
      <c r="Y37">
        <v>481.6</v>
      </c>
      <c r="Z37">
        <v>309.60000000000002</v>
      </c>
      <c r="AA37" t="s">
        <v>36</v>
      </c>
      <c r="AB37" t="s">
        <v>87</v>
      </c>
      <c r="AC37">
        <v>4</v>
      </c>
      <c r="AD37" t="s">
        <v>105</v>
      </c>
      <c r="AE37" t="s">
        <v>95</v>
      </c>
      <c r="AF37" t="str">
        <f t="shared" si="1"/>
        <v>No</v>
      </c>
    </row>
    <row r="38" spans="1:32" x14ac:dyDescent="0.3">
      <c r="A38" t="s">
        <v>249</v>
      </c>
      <c r="B38" s="1">
        <v>45812</v>
      </c>
      <c r="C38" t="s">
        <v>250</v>
      </c>
      <c r="D38">
        <f t="shared" si="0"/>
        <v>13</v>
      </c>
      <c r="E38" t="s">
        <v>131</v>
      </c>
      <c r="F38" t="s">
        <v>48</v>
      </c>
      <c r="G38" t="s">
        <v>73</v>
      </c>
      <c r="H38" t="s">
        <v>150</v>
      </c>
      <c r="I38" t="s">
        <v>151</v>
      </c>
      <c r="J38" t="s">
        <v>152</v>
      </c>
      <c r="K38" t="s">
        <v>8</v>
      </c>
      <c r="L38" t="s">
        <v>251</v>
      </c>
      <c r="M38" t="s">
        <v>225</v>
      </c>
      <c r="N38" t="s">
        <v>30</v>
      </c>
      <c r="O38">
        <v>57</v>
      </c>
      <c r="P38" t="s">
        <v>12</v>
      </c>
      <c r="Q38" t="s">
        <v>252</v>
      </c>
      <c r="R38" t="s">
        <v>253</v>
      </c>
      <c r="S38" t="s">
        <v>178</v>
      </c>
      <c r="T38" t="s">
        <v>35</v>
      </c>
      <c r="U38">
        <v>4</v>
      </c>
      <c r="V38">
        <v>82</v>
      </c>
      <c r="W38">
        <v>205</v>
      </c>
      <c r="X38">
        <v>0</v>
      </c>
      <c r="Y38">
        <v>820</v>
      </c>
      <c r="Z38">
        <v>492</v>
      </c>
      <c r="AA38" t="s">
        <v>36</v>
      </c>
      <c r="AB38" t="s">
        <v>87</v>
      </c>
      <c r="AC38">
        <v>5</v>
      </c>
      <c r="AD38" t="s">
        <v>19</v>
      </c>
      <c r="AE38" t="s">
        <v>95</v>
      </c>
      <c r="AF38" t="str">
        <f t="shared" si="1"/>
        <v>No</v>
      </c>
    </row>
    <row r="39" spans="1:32" x14ac:dyDescent="0.3">
      <c r="A39" t="s">
        <v>254</v>
      </c>
      <c r="B39" s="1">
        <v>45794</v>
      </c>
      <c r="C39" t="s">
        <v>80</v>
      </c>
      <c r="D39">
        <f t="shared" si="0"/>
        <v>10</v>
      </c>
      <c r="E39" t="s">
        <v>47</v>
      </c>
      <c r="F39" t="s">
        <v>48</v>
      </c>
      <c r="G39" t="s">
        <v>132</v>
      </c>
      <c r="H39" t="s">
        <v>122</v>
      </c>
      <c r="I39" t="s">
        <v>123</v>
      </c>
      <c r="J39" t="s">
        <v>7</v>
      </c>
      <c r="K39" t="s">
        <v>196</v>
      </c>
      <c r="L39" t="s">
        <v>255</v>
      </c>
      <c r="M39" t="s">
        <v>10</v>
      </c>
      <c r="N39" t="s">
        <v>11</v>
      </c>
      <c r="O39">
        <v>64</v>
      </c>
      <c r="P39" t="s">
        <v>91</v>
      </c>
      <c r="Q39" t="s">
        <v>256</v>
      </c>
      <c r="R39" t="s">
        <v>257</v>
      </c>
      <c r="S39" t="s">
        <v>118</v>
      </c>
      <c r="T39" t="s">
        <v>35</v>
      </c>
      <c r="U39">
        <v>3</v>
      </c>
      <c r="V39">
        <v>30</v>
      </c>
      <c r="W39">
        <v>90</v>
      </c>
      <c r="X39">
        <v>5</v>
      </c>
      <c r="Y39">
        <v>256.5</v>
      </c>
      <c r="Z39">
        <v>166.5</v>
      </c>
      <c r="AA39" t="s">
        <v>36</v>
      </c>
      <c r="AB39" t="s">
        <v>129</v>
      </c>
      <c r="AC39">
        <v>3</v>
      </c>
      <c r="AD39" t="s">
        <v>19</v>
      </c>
      <c r="AE39" t="s">
        <v>20</v>
      </c>
      <c r="AF39" t="str">
        <f t="shared" si="1"/>
        <v>Yes</v>
      </c>
    </row>
    <row r="40" spans="1:32" x14ac:dyDescent="0.3">
      <c r="A40" t="s">
        <v>258</v>
      </c>
      <c r="B40" s="1">
        <v>45661</v>
      </c>
      <c r="C40" t="s">
        <v>259</v>
      </c>
      <c r="D40">
        <f t="shared" si="0"/>
        <v>18</v>
      </c>
      <c r="E40" t="s">
        <v>2</v>
      </c>
      <c r="F40" t="s">
        <v>3</v>
      </c>
      <c r="G40" t="s">
        <v>132</v>
      </c>
      <c r="H40" t="s">
        <v>159</v>
      </c>
      <c r="I40" t="s">
        <v>160</v>
      </c>
      <c r="J40" t="s">
        <v>161</v>
      </c>
      <c r="K40" t="s">
        <v>27</v>
      </c>
      <c r="L40" t="s">
        <v>260</v>
      </c>
      <c r="M40" t="s">
        <v>261</v>
      </c>
      <c r="N40" t="s">
        <v>11</v>
      </c>
      <c r="O40">
        <v>33</v>
      </c>
      <c r="P40" t="s">
        <v>91</v>
      </c>
      <c r="Q40" t="s">
        <v>262</v>
      </c>
      <c r="R40" t="s">
        <v>263</v>
      </c>
      <c r="S40" t="s">
        <v>218</v>
      </c>
      <c r="T40" t="s">
        <v>35</v>
      </c>
      <c r="U40">
        <v>4</v>
      </c>
      <c r="V40">
        <v>40</v>
      </c>
      <c r="W40">
        <v>112</v>
      </c>
      <c r="X40">
        <v>5</v>
      </c>
      <c r="Y40">
        <v>425.6</v>
      </c>
      <c r="Z40">
        <v>265.60000000000002</v>
      </c>
      <c r="AA40" t="s">
        <v>17</v>
      </c>
      <c r="AB40" t="s">
        <v>44</v>
      </c>
      <c r="AD40" t="s">
        <v>19</v>
      </c>
      <c r="AE40" t="s">
        <v>95</v>
      </c>
      <c r="AF40" t="str">
        <f t="shared" si="1"/>
        <v>No</v>
      </c>
    </row>
    <row r="41" spans="1:32" x14ac:dyDescent="0.3">
      <c r="A41" t="s">
        <v>264</v>
      </c>
      <c r="B41" s="1">
        <v>45788</v>
      </c>
      <c r="C41" t="s">
        <v>265</v>
      </c>
      <c r="D41">
        <f t="shared" si="0"/>
        <v>7</v>
      </c>
      <c r="E41" t="s">
        <v>47</v>
      </c>
      <c r="F41" t="s">
        <v>48</v>
      </c>
      <c r="G41" t="s">
        <v>4</v>
      </c>
      <c r="H41" t="s">
        <v>159</v>
      </c>
      <c r="I41" t="s">
        <v>160</v>
      </c>
      <c r="J41" t="s">
        <v>161</v>
      </c>
      <c r="K41" t="s">
        <v>124</v>
      </c>
      <c r="L41" t="s">
        <v>266</v>
      </c>
      <c r="M41" t="s">
        <v>29</v>
      </c>
      <c r="N41" t="s">
        <v>11</v>
      </c>
      <c r="O41">
        <v>62</v>
      </c>
      <c r="P41" t="s">
        <v>31</v>
      </c>
      <c r="Q41" t="s">
        <v>267</v>
      </c>
      <c r="R41" t="s">
        <v>268</v>
      </c>
      <c r="S41" t="s">
        <v>15</v>
      </c>
      <c r="T41" t="s">
        <v>35</v>
      </c>
      <c r="U41">
        <v>1</v>
      </c>
      <c r="V41">
        <v>87</v>
      </c>
      <c r="W41">
        <v>261</v>
      </c>
      <c r="X41">
        <v>0</v>
      </c>
      <c r="Y41">
        <v>261</v>
      </c>
      <c r="Z41">
        <v>174</v>
      </c>
      <c r="AA41" t="s">
        <v>43</v>
      </c>
      <c r="AB41" t="s">
        <v>18</v>
      </c>
      <c r="AC41">
        <v>4</v>
      </c>
      <c r="AD41" t="s">
        <v>19</v>
      </c>
      <c r="AE41" t="s">
        <v>95</v>
      </c>
      <c r="AF41" t="str">
        <f t="shared" si="1"/>
        <v>No</v>
      </c>
    </row>
    <row r="42" spans="1:32" x14ac:dyDescent="0.3">
      <c r="A42" t="s">
        <v>269</v>
      </c>
      <c r="B42" s="1">
        <v>45740</v>
      </c>
      <c r="C42" t="s">
        <v>199</v>
      </c>
      <c r="D42">
        <f t="shared" si="0"/>
        <v>10</v>
      </c>
      <c r="E42" t="s">
        <v>72</v>
      </c>
      <c r="F42" t="s">
        <v>3</v>
      </c>
      <c r="G42" t="s">
        <v>23</v>
      </c>
      <c r="H42" t="s">
        <v>150</v>
      </c>
      <c r="I42" t="s">
        <v>151</v>
      </c>
      <c r="J42" t="s">
        <v>152</v>
      </c>
      <c r="K42" t="s">
        <v>270</v>
      </c>
      <c r="L42" t="s">
        <v>271</v>
      </c>
      <c r="M42" t="s">
        <v>53</v>
      </c>
      <c r="N42" t="s">
        <v>11</v>
      </c>
      <c r="O42">
        <v>45</v>
      </c>
      <c r="P42" t="s">
        <v>54</v>
      </c>
      <c r="Q42" t="s">
        <v>272</v>
      </c>
      <c r="R42" t="s">
        <v>273</v>
      </c>
      <c r="S42" t="s">
        <v>57</v>
      </c>
      <c r="T42" t="s">
        <v>16</v>
      </c>
      <c r="U42">
        <v>2</v>
      </c>
      <c r="V42">
        <v>55</v>
      </c>
      <c r="W42">
        <v>154</v>
      </c>
      <c r="X42">
        <v>5</v>
      </c>
      <c r="Y42">
        <v>292.60000000000002</v>
      </c>
      <c r="Z42">
        <v>182.6</v>
      </c>
      <c r="AA42" t="s">
        <v>36</v>
      </c>
      <c r="AB42" t="s">
        <v>18</v>
      </c>
      <c r="AC42">
        <v>4</v>
      </c>
      <c r="AD42" t="s">
        <v>19</v>
      </c>
      <c r="AE42" t="s">
        <v>20</v>
      </c>
      <c r="AF42" t="str">
        <f t="shared" si="1"/>
        <v>Yes</v>
      </c>
    </row>
    <row r="43" spans="1:32" x14ac:dyDescent="0.3">
      <c r="A43" t="s">
        <v>274</v>
      </c>
      <c r="B43" s="1">
        <v>45686</v>
      </c>
      <c r="C43" t="s">
        <v>144</v>
      </c>
      <c r="D43">
        <f t="shared" si="0"/>
        <v>20</v>
      </c>
      <c r="E43" t="s">
        <v>2</v>
      </c>
      <c r="F43" t="s">
        <v>3</v>
      </c>
      <c r="G43" t="s">
        <v>73</v>
      </c>
      <c r="H43" t="s">
        <v>122</v>
      </c>
      <c r="I43" t="s">
        <v>123</v>
      </c>
      <c r="J43" t="s">
        <v>7</v>
      </c>
      <c r="K43" t="s">
        <v>8</v>
      </c>
      <c r="L43" t="s">
        <v>42</v>
      </c>
      <c r="M43" t="s">
        <v>169</v>
      </c>
      <c r="N43" t="s">
        <v>30</v>
      </c>
      <c r="O43">
        <v>45</v>
      </c>
      <c r="P43" t="s">
        <v>91</v>
      </c>
      <c r="Q43" t="s">
        <v>204</v>
      </c>
      <c r="R43" t="s">
        <v>205</v>
      </c>
      <c r="S43" t="s">
        <v>118</v>
      </c>
      <c r="T43" t="s">
        <v>35</v>
      </c>
      <c r="U43">
        <v>2</v>
      </c>
      <c r="V43">
        <v>59</v>
      </c>
      <c r="W43">
        <v>177</v>
      </c>
      <c r="X43">
        <v>5</v>
      </c>
      <c r="Y43">
        <v>336.3</v>
      </c>
      <c r="Z43">
        <v>218.3</v>
      </c>
      <c r="AA43" t="s">
        <v>36</v>
      </c>
      <c r="AB43" t="s">
        <v>44</v>
      </c>
      <c r="AC43">
        <v>3</v>
      </c>
      <c r="AD43" t="s">
        <v>105</v>
      </c>
      <c r="AE43" t="s">
        <v>20</v>
      </c>
      <c r="AF43" t="str">
        <f t="shared" si="1"/>
        <v>Yes</v>
      </c>
    </row>
    <row r="44" spans="1:32" x14ac:dyDescent="0.3">
      <c r="A44" t="s">
        <v>275</v>
      </c>
      <c r="B44" s="1">
        <v>45783</v>
      </c>
      <c r="C44" t="s">
        <v>276</v>
      </c>
      <c r="D44">
        <f t="shared" si="0"/>
        <v>13</v>
      </c>
      <c r="E44" t="s">
        <v>47</v>
      </c>
      <c r="F44" t="s">
        <v>48</v>
      </c>
      <c r="G44" t="s">
        <v>181</v>
      </c>
      <c r="H44" t="s">
        <v>61</v>
      </c>
      <c r="I44" t="s">
        <v>62</v>
      </c>
      <c r="J44" t="s">
        <v>7</v>
      </c>
      <c r="K44" t="s">
        <v>270</v>
      </c>
      <c r="L44" t="s">
        <v>277</v>
      </c>
      <c r="M44" t="s">
        <v>162</v>
      </c>
      <c r="N44" t="s">
        <v>30</v>
      </c>
      <c r="O44">
        <v>53</v>
      </c>
      <c r="P44" t="s">
        <v>31</v>
      </c>
      <c r="Q44" t="s">
        <v>155</v>
      </c>
      <c r="R44" t="s">
        <v>156</v>
      </c>
      <c r="S44" t="s">
        <v>34</v>
      </c>
      <c r="T44" t="s">
        <v>16</v>
      </c>
      <c r="U44">
        <v>2</v>
      </c>
      <c r="V44">
        <v>40</v>
      </c>
      <c r="W44">
        <v>100</v>
      </c>
      <c r="X44">
        <v>0</v>
      </c>
      <c r="Y44">
        <v>200</v>
      </c>
      <c r="Z44">
        <v>120</v>
      </c>
      <c r="AA44" t="s">
        <v>69</v>
      </c>
      <c r="AB44" t="s">
        <v>129</v>
      </c>
      <c r="AC44">
        <v>3</v>
      </c>
      <c r="AD44" t="s">
        <v>19</v>
      </c>
      <c r="AE44" t="s">
        <v>20</v>
      </c>
      <c r="AF44" t="str">
        <f t="shared" si="1"/>
        <v>Yes</v>
      </c>
    </row>
    <row r="45" spans="1:32" x14ac:dyDescent="0.3">
      <c r="A45" t="s">
        <v>278</v>
      </c>
      <c r="B45" s="1">
        <v>45754</v>
      </c>
      <c r="C45" t="s">
        <v>259</v>
      </c>
      <c r="D45">
        <f t="shared" si="0"/>
        <v>18</v>
      </c>
      <c r="E45" t="s">
        <v>60</v>
      </c>
      <c r="F45" t="s">
        <v>48</v>
      </c>
      <c r="G45" t="s">
        <v>23</v>
      </c>
      <c r="H45" t="s">
        <v>99</v>
      </c>
      <c r="I45" t="s">
        <v>100</v>
      </c>
      <c r="J45" t="s">
        <v>101</v>
      </c>
      <c r="K45" t="s">
        <v>153</v>
      </c>
      <c r="L45" t="s">
        <v>279</v>
      </c>
      <c r="M45" t="s">
        <v>140</v>
      </c>
      <c r="N45" t="s">
        <v>30</v>
      </c>
      <c r="O45">
        <v>46</v>
      </c>
      <c r="P45" t="s">
        <v>31</v>
      </c>
      <c r="Q45" t="s">
        <v>280</v>
      </c>
      <c r="R45" t="s">
        <v>281</v>
      </c>
      <c r="S45" t="s">
        <v>218</v>
      </c>
      <c r="T45" t="s">
        <v>16</v>
      </c>
      <c r="U45">
        <v>3</v>
      </c>
      <c r="V45">
        <v>34</v>
      </c>
      <c r="W45">
        <v>74.8</v>
      </c>
      <c r="X45">
        <v>15</v>
      </c>
      <c r="Y45">
        <v>190.74</v>
      </c>
      <c r="Z45">
        <v>88.74</v>
      </c>
      <c r="AA45" t="s">
        <v>17</v>
      </c>
      <c r="AB45" t="s">
        <v>44</v>
      </c>
      <c r="AC45">
        <v>5</v>
      </c>
      <c r="AD45" t="s">
        <v>105</v>
      </c>
      <c r="AE45" t="s">
        <v>20</v>
      </c>
      <c r="AF45" t="str">
        <f t="shared" si="1"/>
        <v>Yes</v>
      </c>
    </row>
    <row r="46" spans="1:32" x14ac:dyDescent="0.3">
      <c r="A46" t="s">
        <v>282</v>
      </c>
      <c r="B46" s="1">
        <v>45808</v>
      </c>
      <c r="C46" t="s">
        <v>283</v>
      </c>
      <c r="D46">
        <f t="shared" si="0"/>
        <v>14</v>
      </c>
      <c r="E46" t="s">
        <v>47</v>
      </c>
      <c r="F46" t="s">
        <v>48</v>
      </c>
      <c r="G46" t="s">
        <v>132</v>
      </c>
      <c r="H46" t="s">
        <v>81</v>
      </c>
      <c r="I46" t="s">
        <v>82</v>
      </c>
      <c r="J46" t="s">
        <v>7</v>
      </c>
      <c r="K46" t="s">
        <v>138</v>
      </c>
      <c r="L46" t="s">
        <v>284</v>
      </c>
      <c r="M46" t="s">
        <v>261</v>
      </c>
      <c r="N46" t="s">
        <v>30</v>
      </c>
      <c r="O46">
        <v>52</v>
      </c>
      <c r="P46" t="s">
        <v>12</v>
      </c>
      <c r="Q46" t="s">
        <v>230</v>
      </c>
      <c r="R46" t="s">
        <v>231</v>
      </c>
      <c r="S46" t="s">
        <v>128</v>
      </c>
      <c r="T46" t="s">
        <v>35</v>
      </c>
      <c r="U46">
        <v>4</v>
      </c>
      <c r="V46">
        <v>62</v>
      </c>
      <c r="W46">
        <v>186</v>
      </c>
      <c r="X46">
        <v>10</v>
      </c>
      <c r="Y46">
        <v>669.6</v>
      </c>
      <c r="Z46">
        <v>421.6</v>
      </c>
      <c r="AA46" t="s">
        <v>36</v>
      </c>
      <c r="AB46" t="s">
        <v>44</v>
      </c>
      <c r="AC46">
        <v>4</v>
      </c>
      <c r="AD46" t="s">
        <v>105</v>
      </c>
      <c r="AE46" t="s">
        <v>20</v>
      </c>
      <c r="AF46" t="str">
        <f t="shared" si="1"/>
        <v>Yes</v>
      </c>
    </row>
    <row r="47" spans="1:32" x14ac:dyDescent="0.3">
      <c r="A47" t="s">
        <v>285</v>
      </c>
      <c r="B47" s="1">
        <v>45717</v>
      </c>
      <c r="C47" t="s">
        <v>214</v>
      </c>
      <c r="D47">
        <f t="shared" si="0"/>
        <v>7</v>
      </c>
      <c r="E47" t="s">
        <v>72</v>
      </c>
      <c r="F47" t="s">
        <v>3</v>
      </c>
      <c r="G47" t="s">
        <v>132</v>
      </c>
      <c r="H47" t="s">
        <v>159</v>
      </c>
      <c r="I47" t="s">
        <v>160</v>
      </c>
      <c r="J47" t="s">
        <v>161</v>
      </c>
      <c r="K47" t="s">
        <v>114</v>
      </c>
      <c r="L47" t="s">
        <v>286</v>
      </c>
      <c r="M47" t="s">
        <v>10</v>
      </c>
      <c r="N47" t="s">
        <v>30</v>
      </c>
      <c r="O47">
        <v>21</v>
      </c>
      <c r="P47" t="s">
        <v>91</v>
      </c>
      <c r="Q47" t="s">
        <v>109</v>
      </c>
      <c r="R47" t="s">
        <v>110</v>
      </c>
      <c r="S47" t="s">
        <v>111</v>
      </c>
      <c r="T47" t="s">
        <v>16</v>
      </c>
      <c r="U47">
        <v>3</v>
      </c>
      <c r="V47">
        <v>83</v>
      </c>
      <c r="W47">
        <v>182.6</v>
      </c>
      <c r="X47">
        <v>0</v>
      </c>
      <c r="Y47">
        <v>547.79999999999995</v>
      </c>
      <c r="Z47">
        <v>298.8</v>
      </c>
      <c r="AA47" t="s">
        <v>36</v>
      </c>
      <c r="AB47" t="s">
        <v>87</v>
      </c>
      <c r="AC47">
        <v>4</v>
      </c>
      <c r="AD47" t="s">
        <v>19</v>
      </c>
      <c r="AE47" t="s">
        <v>20</v>
      </c>
      <c r="AF47" t="str">
        <f t="shared" si="1"/>
        <v>Yes</v>
      </c>
    </row>
    <row r="48" spans="1:32" x14ac:dyDescent="0.3">
      <c r="A48" t="s">
        <v>287</v>
      </c>
      <c r="B48" s="1">
        <v>45812</v>
      </c>
      <c r="C48" t="s">
        <v>97</v>
      </c>
      <c r="D48">
        <f t="shared" si="0"/>
        <v>7</v>
      </c>
      <c r="E48" t="s">
        <v>131</v>
      </c>
      <c r="F48" t="s">
        <v>48</v>
      </c>
      <c r="G48" t="s">
        <v>73</v>
      </c>
      <c r="H48" t="s">
        <v>164</v>
      </c>
      <c r="I48" t="s">
        <v>165</v>
      </c>
      <c r="J48" t="s">
        <v>166</v>
      </c>
      <c r="K48" t="s">
        <v>138</v>
      </c>
      <c r="L48" t="s">
        <v>288</v>
      </c>
      <c r="M48" t="s">
        <v>225</v>
      </c>
      <c r="N48" t="s">
        <v>30</v>
      </c>
      <c r="O48">
        <v>50</v>
      </c>
      <c r="P48" t="s">
        <v>31</v>
      </c>
      <c r="Q48" t="s">
        <v>252</v>
      </c>
      <c r="R48" t="s">
        <v>253</v>
      </c>
      <c r="S48" t="s">
        <v>178</v>
      </c>
      <c r="T48" t="s">
        <v>35</v>
      </c>
      <c r="U48">
        <v>2</v>
      </c>
      <c r="V48">
        <v>82</v>
      </c>
      <c r="W48">
        <v>205</v>
      </c>
      <c r="X48">
        <v>10</v>
      </c>
      <c r="Y48">
        <v>369</v>
      </c>
      <c r="Z48">
        <v>205</v>
      </c>
      <c r="AA48" t="s">
        <v>36</v>
      </c>
      <c r="AB48" t="s">
        <v>87</v>
      </c>
      <c r="AD48" t="s">
        <v>105</v>
      </c>
      <c r="AE48" t="s">
        <v>20</v>
      </c>
      <c r="AF48" t="str">
        <f t="shared" si="1"/>
        <v>Yes</v>
      </c>
    </row>
    <row r="49" spans="1:32" x14ac:dyDescent="0.3">
      <c r="A49" t="s">
        <v>289</v>
      </c>
      <c r="B49" s="1">
        <v>45697</v>
      </c>
      <c r="C49" t="s">
        <v>22</v>
      </c>
      <c r="D49">
        <f t="shared" si="0"/>
        <v>7</v>
      </c>
      <c r="E49" t="s">
        <v>145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270</v>
      </c>
      <c r="L49" t="s">
        <v>290</v>
      </c>
      <c r="M49" t="s">
        <v>29</v>
      </c>
      <c r="N49" t="s">
        <v>11</v>
      </c>
      <c r="O49">
        <v>25</v>
      </c>
      <c r="P49" t="s">
        <v>91</v>
      </c>
      <c r="Q49" t="s">
        <v>291</v>
      </c>
      <c r="R49" t="s">
        <v>292</v>
      </c>
      <c r="S49" t="s">
        <v>242</v>
      </c>
      <c r="T49" t="s">
        <v>16</v>
      </c>
      <c r="U49">
        <v>3</v>
      </c>
      <c r="V49">
        <v>68</v>
      </c>
      <c r="W49">
        <v>204</v>
      </c>
      <c r="X49">
        <v>5</v>
      </c>
      <c r="Y49">
        <v>581.4</v>
      </c>
      <c r="Z49">
        <v>377.4</v>
      </c>
      <c r="AA49" t="s">
        <v>17</v>
      </c>
      <c r="AB49" t="s">
        <v>18</v>
      </c>
      <c r="AC49">
        <v>3</v>
      </c>
      <c r="AD49" t="s">
        <v>105</v>
      </c>
      <c r="AE49" t="s">
        <v>95</v>
      </c>
      <c r="AF49" t="str">
        <f t="shared" si="1"/>
        <v>No</v>
      </c>
    </row>
    <row r="50" spans="1:32" x14ac:dyDescent="0.3">
      <c r="A50" t="s">
        <v>293</v>
      </c>
      <c r="B50" s="1">
        <v>45718</v>
      </c>
      <c r="C50" t="s">
        <v>158</v>
      </c>
      <c r="D50">
        <f t="shared" si="0"/>
        <v>8</v>
      </c>
      <c r="E50" t="s">
        <v>72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83</v>
      </c>
      <c r="L50" t="s">
        <v>294</v>
      </c>
      <c r="M50" t="s">
        <v>10</v>
      </c>
      <c r="N50" t="s">
        <v>30</v>
      </c>
      <c r="O50">
        <v>47</v>
      </c>
      <c r="P50" t="s">
        <v>91</v>
      </c>
      <c r="Q50" t="s">
        <v>295</v>
      </c>
      <c r="R50" t="s">
        <v>296</v>
      </c>
      <c r="S50" t="s">
        <v>57</v>
      </c>
      <c r="T50" t="s">
        <v>35</v>
      </c>
      <c r="U50">
        <v>4</v>
      </c>
      <c r="V50">
        <v>62</v>
      </c>
      <c r="W50">
        <v>186</v>
      </c>
      <c r="X50">
        <v>5</v>
      </c>
      <c r="Y50">
        <v>706.8</v>
      </c>
      <c r="Z50">
        <v>458.8</v>
      </c>
      <c r="AA50" t="s">
        <v>17</v>
      </c>
      <c r="AB50" t="s">
        <v>87</v>
      </c>
      <c r="AC50">
        <v>5</v>
      </c>
      <c r="AD50" t="s">
        <v>19</v>
      </c>
      <c r="AE50" t="s">
        <v>20</v>
      </c>
      <c r="AF50" t="str">
        <f t="shared" si="1"/>
        <v>Yes</v>
      </c>
    </row>
    <row r="51" spans="1:32" x14ac:dyDescent="0.3">
      <c r="A51" t="s">
        <v>297</v>
      </c>
      <c r="B51" s="1">
        <v>45835</v>
      </c>
      <c r="C51" t="s">
        <v>298</v>
      </c>
      <c r="D51">
        <f t="shared" si="0"/>
        <v>11</v>
      </c>
      <c r="E51" t="s">
        <v>131</v>
      </c>
      <c r="F51" t="s">
        <v>48</v>
      </c>
      <c r="G51" t="s">
        <v>40</v>
      </c>
      <c r="H51" t="s">
        <v>81</v>
      </c>
      <c r="I51" t="s">
        <v>82</v>
      </c>
      <c r="J51" t="s">
        <v>7</v>
      </c>
      <c r="K51" t="s">
        <v>8</v>
      </c>
      <c r="L51" t="s">
        <v>299</v>
      </c>
      <c r="M51" t="s">
        <v>10</v>
      </c>
      <c r="N51" t="s">
        <v>30</v>
      </c>
      <c r="O51">
        <v>24</v>
      </c>
      <c r="P51" t="s">
        <v>54</v>
      </c>
      <c r="Q51" t="s">
        <v>300</v>
      </c>
      <c r="R51" t="s">
        <v>301</v>
      </c>
      <c r="S51" t="s">
        <v>187</v>
      </c>
      <c r="T51" t="s">
        <v>35</v>
      </c>
      <c r="U51">
        <v>2</v>
      </c>
      <c r="V51">
        <v>86</v>
      </c>
      <c r="W51">
        <v>258</v>
      </c>
      <c r="X51">
        <v>15</v>
      </c>
      <c r="Y51">
        <v>438.6</v>
      </c>
      <c r="Z51">
        <v>266.60000000000002</v>
      </c>
      <c r="AA51" t="s">
        <v>17</v>
      </c>
      <c r="AB51" t="s">
        <v>44</v>
      </c>
      <c r="AC51">
        <v>3</v>
      </c>
      <c r="AD51" t="s">
        <v>19</v>
      </c>
      <c r="AE51" t="s">
        <v>20</v>
      </c>
      <c r="AF51" t="str">
        <f t="shared" si="1"/>
        <v>Yes</v>
      </c>
    </row>
    <row r="52" spans="1:32" x14ac:dyDescent="0.3">
      <c r="A52" t="s">
        <v>302</v>
      </c>
      <c r="B52" s="1">
        <v>45802</v>
      </c>
      <c r="C52" t="s">
        <v>303</v>
      </c>
      <c r="D52">
        <f t="shared" si="0"/>
        <v>12</v>
      </c>
      <c r="E52" t="s">
        <v>47</v>
      </c>
      <c r="F52" t="s">
        <v>48</v>
      </c>
      <c r="G52" t="s">
        <v>4</v>
      </c>
      <c r="H52" t="s">
        <v>122</v>
      </c>
      <c r="I52" t="s">
        <v>123</v>
      </c>
      <c r="J52" t="s">
        <v>7</v>
      </c>
      <c r="K52" t="s">
        <v>167</v>
      </c>
      <c r="L52" t="s">
        <v>304</v>
      </c>
      <c r="M52" t="s">
        <v>162</v>
      </c>
      <c r="N52" t="s">
        <v>11</v>
      </c>
      <c r="O52">
        <v>25</v>
      </c>
      <c r="P52" t="s">
        <v>76</v>
      </c>
      <c r="Q52" t="s">
        <v>272</v>
      </c>
      <c r="R52" t="s">
        <v>273</v>
      </c>
      <c r="S52" t="s">
        <v>57</v>
      </c>
      <c r="T52" t="s">
        <v>16</v>
      </c>
      <c r="U52">
        <v>3</v>
      </c>
      <c r="V52">
        <v>55</v>
      </c>
      <c r="W52">
        <v>154</v>
      </c>
      <c r="X52">
        <v>15</v>
      </c>
      <c r="Y52">
        <v>392.7</v>
      </c>
      <c r="Z52">
        <v>227.7</v>
      </c>
      <c r="AA52" t="s">
        <v>36</v>
      </c>
      <c r="AB52" t="s">
        <v>44</v>
      </c>
      <c r="AC52">
        <v>4</v>
      </c>
      <c r="AD52" t="s">
        <v>105</v>
      </c>
      <c r="AE52" t="s">
        <v>20</v>
      </c>
      <c r="AF52" t="str">
        <f t="shared" si="1"/>
        <v>Yes</v>
      </c>
    </row>
    <row r="53" spans="1:32" x14ac:dyDescent="0.3">
      <c r="A53" t="s">
        <v>305</v>
      </c>
      <c r="B53" s="1">
        <v>45819</v>
      </c>
      <c r="C53" t="s">
        <v>265</v>
      </c>
      <c r="D53">
        <f t="shared" si="0"/>
        <v>7</v>
      </c>
      <c r="E53" t="s">
        <v>131</v>
      </c>
      <c r="F53" t="s">
        <v>48</v>
      </c>
      <c r="G53" t="s">
        <v>73</v>
      </c>
      <c r="H53" t="s">
        <v>49</v>
      </c>
      <c r="I53" t="s">
        <v>50</v>
      </c>
      <c r="J53" t="s">
        <v>7</v>
      </c>
      <c r="K53" t="s">
        <v>306</v>
      </c>
      <c r="L53" t="s">
        <v>307</v>
      </c>
      <c r="M53" t="s">
        <v>184</v>
      </c>
      <c r="N53" t="s">
        <v>30</v>
      </c>
      <c r="O53">
        <v>39</v>
      </c>
      <c r="P53" t="s">
        <v>91</v>
      </c>
      <c r="Q53" t="s">
        <v>308</v>
      </c>
      <c r="R53" t="s">
        <v>309</v>
      </c>
      <c r="S53" t="s">
        <v>187</v>
      </c>
      <c r="T53" t="s">
        <v>35</v>
      </c>
      <c r="U53">
        <v>3</v>
      </c>
      <c r="V53">
        <v>31</v>
      </c>
      <c r="W53">
        <v>77.5</v>
      </c>
      <c r="X53">
        <v>15</v>
      </c>
      <c r="Y53">
        <v>197.62</v>
      </c>
      <c r="Z53">
        <v>104.62</v>
      </c>
      <c r="AA53" t="s">
        <v>69</v>
      </c>
      <c r="AB53" t="s">
        <v>119</v>
      </c>
      <c r="AC53">
        <v>5</v>
      </c>
      <c r="AD53" t="s">
        <v>105</v>
      </c>
      <c r="AE53" t="s">
        <v>20</v>
      </c>
      <c r="AF53" t="str">
        <f t="shared" si="1"/>
        <v>Yes</v>
      </c>
    </row>
    <row r="54" spans="1:32" x14ac:dyDescent="0.3">
      <c r="A54" t="s">
        <v>310</v>
      </c>
      <c r="B54" s="1">
        <v>45754</v>
      </c>
      <c r="C54" t="s">
        <v>121</v>
      </c>
      <c r="D54">
        <f t="shared" si="0"/>
        <v>9</v>
      </c>
      <c r="E54" t="s">
        <v>60</v>
      </c>
      <c r="F54" t="s">
        <v>48</v>
      </c>
      <c r="G54" t="s">
        <v>23</v>
      </c>
      <c r="H54" t="s">
        <v>164</v>
      </c>
      <c r="I54" t="s">
        <v>165</v>
      </c>
      <c r="J54" t="s">
        <v>166</v>
      </c>
      <c r="K54" t="s">
        <v>311</v>
      </c>
      <c r="L54" t="s">
        <v>312</v>
      </c>
      <c r="M54" t="s">
        <v>225</v>
      </c>
      <c r="N54" t="s">
        <v>30</v>
      </c>
      <c r="O54">
        <v>50</v>
      </c>
      <c r="P54" t="s">
        <v>91</v>
      </c>
      <c r="Q54" t="s">
        <v>313</v>
      </c>
      <c r="R54" t="s">
        <v>314</v>
      </c>
      <c r="S54" t="s">
        <v>128</v>
      </c>
      <c r="T54" t="s">
        <v>35</v>
      </c>
      <c r="U54">
        <v>4</v>
      </c>
      <c r="V54">
        <v>81</v>
      </c>
      <c r="W54">
        <v>202.5</v>
      </c>
      <c r="X54">
        <v>0</v>
      </c>
      <c r="Y54">
        <v>810</v>
      </c>
      <c r="Z54">
        <v>486</v>
      </c>
      <c r="AA54" t="s">
        <v>36</v>
      </c>
      <c r="AB54" t="s">
        <v>18</v>
      </c>
      <c r="AC54">
        <v>4</v>
      </c>
      <c r="AD54" t="s">
        <v>105</v>
      </c>
      <c r="AE54" t="s">
        <v>95</v>
      </c>
      <c r="AF54" t="str">
        <f t="shared" si="1"/>
        <v>No</v>
      </c>
    </row>
    <row r="55" spans="1:32" x14ac:dyDescent="0.3">
      <c r="A55" t="s">
        <v>315</v>
      </c>
      <c r="B55" s="1">
        <v>45827</v>
      </c>
      <c r="C55" t="s">
        <v>276</v>
      </c>
      <c r="D55">
        <f t="shared" si="0"/>
        <v>13</v>
      </c>
      <c r="E55" t="s">
        <v>131</v>
      </c>
      <c r="F55" t="s">
        <v>48</v>
      </c>
      <c r="G55" t="s">
        <v>98</v>
      </c>
      <c r="H55" t="s">
        <v>5</v>
      </c>
      <c r="I55" t="s">
        <v>6</v>
      </c>
      <c r="J55" t="s">
        <v>7</v>
      </c>
      <c r="K55" t="s">
        <v>182</v>
      </c>
      <c r="L55" t="s">
        <v>316</v>
      </c>
      <c r="M55" t="s">
        <v>53</v>
      </c>
      <c r="N55" t="s">
        <v>30</v>
      </c>
      <c r="O55">
        <v>24</v>
      </c>
      <c r="P55" t="s">
        <v>76</v>
      </c>
      <c r="Q55" t="s">
        <v>176</v>
      </c>
      <c r="R55" t="s">
        <v>177</v>
      </c>
      <c r="S55" t="s">
        <v>178</v>
      </c>
      <c r="T55" t="s">
        <v>16</v>
      </c>
      <c r="U55">
        <v>1</v>
      </c>
      <c r="V55">
        <v>56</v>
      </c>
      <c r="W55">
        <v>156.80000000000001</v>
      </c>
      <c r="X55">
        <v>5</v>
      </c>
      <c r="Y55">
        <v>148.96</v>
      </c>
      <c r="Z55">
        <v>92.96</v>
      </c>
      <c r="AA55" t="s">
        <v>17</v>
      </c>
      <c r="AB55" t="s">
        <v>87</v>
      </c>
      <c r="AC55">
        <v>5</v>
      </c>
      <c r="AD55" t="s">
        <v>19</v>
      </c>
      <c r="AE55" t="s">
        <v>20</v>
      </c>
      <c r="AF55" t="str">
        <f t="shared" si="1"/>
        <v>Yes</v>
      </c>
    </row>
    <row r="56" spans="1:32" x14ac:dyDescent="0.3">
      <c r="A56" t="s">
        <v>317</v>
      </c>
      <c r="B56" s="1">
        <v>45740</v>
      </c>
      <c r="C56" t="s">
        <v>46</v>
      </c>
      <c r="D56">
        <f t="shared" si="0"/>
        <v>19</v>
      </c>
      <c r="E56" t="s">
        <v>72</v>
      </c>
      <c r="F56" t="s">
        <v>3</v>
      </c>
      <c r="G56" t="s">
        <v>23</v>
      </c>
      <c r="H56" t="s">
        <v>81</v>
      </c>
      <c r="I56" t="s">
        <v>82</v>
      </c>
      <c r="J56" t="s">
        <v>7</v>
      </c>
      <c r="K56" t="s">
        <v>318</v>
      </c>
      <c r="L56" t="s">
        <v>319</v>
      </c>
      <c r="M56" t="s">
        <v>53</v>
      </c>
      <c r="N56" t="s">
        <v>30</v>
      </c>
      <c r="O56">
        <v>39</v>
      </c>
      <c r="P56" t="s">
        <v>12</v>
      </c>
      <c r="Q56" t="s">
        <v>66</v>
      </c>
      <c r="R56" t="s">
        <v>67</v>
      </c>
      <c r="S56" t="s">
        <v>68</v>
      </c>
      <c r="T56" t="s">
        <v>16</v>
      </c>
      <c r="U56">
        <v>2</v>
      </c>
      <c r="V56">
        <v>43</v>
      </c>
      <c r="W56">
        <v>120.4</v>
      </c>
      <c r="X56">
        <v>15</v>
      </c>
      <c r="Y56">
        <v>204.68</v>
      </c>
      <c r="Z56">
        <v>118.68</v>
      </c>
      <c r="AA56" t="s">
        <v>36</v>
      </c>
      <c r="AB56" t="s">
        <v>44</v>
      </c>
      <c r="AC56">
        <v>5</v>
      </c>
      <c r="AD56" t="s">
        <v>105</v>
      </c>
      <c r="AE56" t="s">
        <v>20</v>
      </c>
      <c r="AF56" t="str">
        <f t="shared" si="1"/>
        <v>Yes</v>
      </c>
    </row>
    <row r="57" spans="1:32" x14ac:dyDescent="0.3">
      <c r="A57" t="s">
        <v>320</v>
      </c>
      <c r="B57" s="1">
        <v>45806</v>
      </c>
      <c r="C57" t="s">
        <v>158</v>
      </c>
      <c r="D57">
        <f t="shared" si="0"/>
        <v>8</v>
      </c>
      <c r="E57" t="s">
        <v>47</v>
      </c>
      <c r="F57" t="s">
        <v>48</v>
      </c>
      <c r="G57" t="s">
        <v>98</v>
      </c>
      <c r="H57" t="s">
        <v>61</v>
      </c>
      <c r="I57" t="s">
        <v>62</v>
      </c>
      <c r="J57" t="s">
        <v>7</v>
      </c>
      <c r="K57" t="s">
        <v>270</v>
      </c>
      <c r="L57" t="s">
        <v>108</v>
      </c>
      <c r="M57" t="s">
        <v>225</v>
      </c>
      <c r="N57" t="s">
        <v>30</v>
      </c>
      <c r="O57">
        <v>43</v>
      </c>
      <c r="P57" t="s">
        <v>31</v>
      </c>
      <c r="Q57" t="s">
        <v>134</v>
      </c>
      <c r="R57" t="s">
        <v>135</v>
      </c>
      <c r="S57" t="s">
        <v>136</v>
      </c>
      <c r="T57" t="s">
        <v>35</v>
      </c>
      <c r="U57">
        <v>2</v>
      </c>
      <c r="V57">
        <v>20</v>
      </c>
      <c r="W57">
        <v>60</v>
      </c>
      <c r="X57">
        <v>15</v>
      </c>
      <c r="Y57">
        <v>102</v>
      </c>
      <c r="Z57">
        <v>62</v>
      </c>
      <c r="AA57" t="s">
        <v>179</v>
      </c>
      <c r="AB57" t="s">
        <v>119</v>
      </c>
      <c r="AC57">
        <v>5</v>
      </c>
      <c r="AD57" t="s">
        <v>105</v>
      </c>
      <c r="AE57" t="s">
        <v>20</v>
      </c>
      <c r="AF57" t="str">
        <f t="shared" si="1"/>
        <v>Yes</v>
      </c>
    </row>
    <row r="58" spans="1:32" x14ac:dyDescent="0.3">
      <c r="A58" t="s">
        <v>321</v>
      </c>
      <c r="B58" s="1">
        <v>45795</v>
      </c>
      <c r="C58" t="s">
        <v>322</v>
      </c>
      <c r="D58">
        <f t="shared" si="0"/>
        <v>10</v>
      </c>
      <c r="E58" t="s">
        <v>47</v>
      </c>
      <c r="F58" t="s">
        <v>48</v>
      </c>
      <c r="G58" t="s">
        <v>4</v>
      </c>
      <c r="H58" t="s">
        <v>81</v>
      </c>
      <c r="I58" t="s">
        <v>82</v>
      </c>
      <c r="J58" t="s">
        <v>7</v>
      </c>
      <c r="K58" t="s">
        <v>323</v>
      </c>
      <c r="L58" t="s">
        <v>324</v>
      </c>
      <c r="M58" t="s">
        <v>225</v>
      </c>
      <c r="N58" t="s">
        <v>30</v>
      </c>
      <c r="O58">
        <v>37</v>
      </c>
      <c r="P58" t="s">
        <v>91</v>
      </c>
      <c r="Q58" t="s">
        <v>193</v>
      </c>
      <c r="R58" t="s">
        <v>194</v>
      </c>
      <c r="S58" t="s">
        <v>172</v>
      </c>
      <c r="T58" t="s">
        <v>35</v>
      </c>
      <c r="U58">
        <v>4</v>
      </c>
      <c r="V58">
        <v>35</v>
      </c>
      <c r="W58">
        <v>87.5</v>
      </c>
      <c r="X58">
        <v>10</v>
      </c>
      <c r="Y58">
        <v>315</v>
      </c>
      <c r="Z58">
        <v>175</v>
      </c>
      <c r="AA58" t="s">
        <v>69</v>
      </c>
      <c r="AB58" t="s">
        <v>87</v>
      </c>
      <c r="AC58">
        <v>4</v>
      </c>
      <c r="AD58" t="s">
        <v>19</v>
      </c>
      <c r="AE58" t="s">
        <v>20</v>
      </c>
      <c r="AF58" t="str">
        <f t="shared" si="1"/>
        <v>Yes</v>
      </c>
    </row>
    <row r="59" spans="1:32" x14ac:dyDescent="0.3">
      <c r="A59" t="s">
        <v>325</v>
      </c>
      <c r="B59" s="1">
        <v>45793</v>
      </c>
      <c r="C59" t="s">
        <v>298</v>
      </c>
      <c r="D59">
        <f t="shared" si="0"/>
        <v>11</v>
      </c>
      <c r="E59" t="s">
        <v>47</v>
      </c>
      <c r="F59" t="s">
        <v>48</v>
      </c>
      <c r="G59" t="s">
        <v>40</v>
      </c>
      <c r="H59" t="s">
        <v>159</v>
      </c>
      <c r="I59" t="s">
        <v>160</v>
      </c>
      <c r="J59" t="s">
        <v>161</v>
      </c>
      <c r="K59" t="s">
        <v>306</v>
      </c>
      <c r="L59" t="s">
        <v>326</v>
      </c>
      <c r="M59" t="s">
        <v>53</v>
      </c>
      <c r="N59" t="s">
        <v>30</v>
      </c>
      <c r="O59">
        <v>42</v>
      </c>
      <c r="P59" t="s">
        <v>76</v>
      </c>
      <c r="Q59" t="s">
        <v>327</v>
      </c>
      <c r="R59" t="s">
        <v>328</v>
      </c>
      <c r="S59" t="s">
        <v>136</v>
      </c>
      <c r="T59" t="s">
        <v>16</v>
      </c>
      <c r="U59">
        <v>1</v>
      </c>
      <c r="V59">
        <v>73</v>
      </c>
      <c r="W59">
        <v>160.6</v>
      </c>
      <c r="X59">
        <v>10</v>
      </c>
      <c r="Y59">
        <v>144.54</v>
      </c>
      <c r="Z59">
        <v>71.540000000000006</v>
      </c>
      <c r="AA59" t="s">
        <v>179</v>
      </c>
      <c r="AB59" t="s">
        <v>119</v>
      </c>
      <c r="AD59" t="s">
        <v>19</v>
      </c>
      <c r="AE59" t="s">
        <v>20</v>
      </c>
      <c r="AF59" t="str">
        <f t="shared" si="1"/>
        <v>Yes</v>
      </c>
    </row>
    <row r="60" spans="1:32" x14ac:dyDescent="0.3">
      <c r="A60" t="s">
        <v>329</v>
      </c>
      <c r="B60" s="1">
        <v>45711</v>
      </c>
      <c r="C60" t="s">
        <v>330</v>
      </c>
      <c r="D60">
        <f t="shared" si="0"/>
        <v>14</v>
      </c>
      <c r="E60" t="s">
        <v>145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51</v>
      </c>
      <c r="L60" t="s">
        <v>331</v>
      </c>
      <c r="M60" t="s">
        <v>162</v>
      </c>
      <c r="N60" t="s">
        <v>30</v>
      </c>
      <c r="O60">
        <v>45</v>
      </c>
      <c r="P60" t="s">
        <v>12</v>
      </c>
      <c r="Q60" t="s">
        <v>204</v>
      </c>
      <c r="R60" t="s">
        <v>205</v>
      </c>
      <c r="S60" t="s">
        <v>118</v>
      </c>
      <c r="T60" t="s">
        <v>35</v>
      </c>
      <c r="U60">
        <v>2</v>
      </c>
      <c r="V60">
        <v>59</v>
      </c>
      <c r="W60">
        <v>177</v>
      </c>
      <c r="X60">
        <v>5</v>
      </c>
      <c r="Y60">
        <v>336.3</v>
      </c>
      <c r="Z60">
        <v>218.3</v>
      </c>
      <c r="AA60" t="s">
        <v>36</v>
      </c>
      <c r="AB60" t="s">
        <v>119</v>
      </c>
      <c r="AC60">
        <v>5</v>
      </c>
      <c r="AD60" t="s">
        <v>105</v>
      </c>
      <c r="AE60" t="s">
        <v>20</v>
      </c>
      <c r="AF60" t="str">
        <f t="shared" si="1"/>
        <v>Yes</v>
      </c>
    </row>
    <row r="61" spans="1:32" x14ac:dyDescent="0.3">
      <c r="A61" t="s">
        <v>332</v>
      </c>
      <c r="B61" s="1">
        <v>45760</v>
      </c>
      <c r="C61" t="s">
        <v>158</v>
      </c>
      <c r="D61">
        <f t="shared" si="0"/>
        <v>8</v>
      </c>
      <c r="E61" t="s">
        <v>60</v>
      </c>
      <c r="F61" t="s">
        <v>48</v>
      </c>
      <c r="G61" t="s">
        <v>4</v>
      </c>
      <c r="H61" t="s">
        <v>5</v>
      </c>
      <c r="I61" t="s">
        <v>6</v>
      </c>
      <c r="J61" t="s">
        <v>7</v>
      </c>
      <c r="K61" t="s">
        <v>138</v>
      </c>
      <c r="L61" t="s">
        <v>333</v>
      </c>
      <c r="M61" t="s">
        <v>65</v>
      </c>
      <c r="N61" t="s">
        <v>11</v>
      </c>
      <c r="O61">
        <v>49</v>
      </c>
      <c r="P61" t="s">
        <v>54</v>
      </c>
      <c r="Q61" t="s">
        <v>32</v>
      </c>
      <c r="R61" t="s">
        <v>33</v>
      </c>
      <c r="S61" t="s">
        <v>34</v>
      </c>
      <c r="T61" t="s">
        <v>35</v>
      </c>
      <c r="U61">
        <v>4</v>
      </c>
      <c r="V61">
        <v>83</v>
      </c>
      <c r="W61">
        <v>232.4</v>
      </c>
      <c r="X61">
        <v>5</v>
      </c>
      <c r="Y61">
        <v>883.12</v>
      </c>
      <c r="Z61">
        <v>551.12</v>
      </c>
      <c r="AA61" t="s">
        <v>179</v>
      </c>
      <c r="AB61" t="s">
        <v>18</v>
      </c>
      <c r="AD61" t="s">
        <v>105</v>
      </c>
      <c r="AE61" t="s">
        <v>20</v>
      </c>
      <c r="AF61" t="str">
        <f t="shared" si="1"/>
        <v>Yes</v>
      </c>
    </row>
    <row r="62" spans="1:32" x14ac:dyDescent="0.3">
      <c r="A62" t="s">
        <v>334</v>
      </c>
      <c r="B62" s="1">
        <v>45756</v>
      </c>
      <c r="C62" t="s">
        <v>202</v>
      </c>
      <c r="D62">
        <f t="shared" si="0"/>
        <v>11</v>
      </c>
      <c r="E62" t="s">
        <v>60</v>
      </c>
      <c r="F62" t="s">
        <v>48</v>
      </c>
      <c r="G62" t="s">
        <v>73</v>
      </c>
      <c r="H62" t="s">
        <v>5</v>
      </c>
      <c r="I62" t="s">
        <v>6</v>
      </c>
      <c r="J62" t="s">
        <v>7</v>
      </c>
      <c r="K62" t="s">
        <v>83</v>
      </c>
      <c r="L62" t="s">
        <v>335</v>
      </c>
      <c r="M62" t="s">
        <v>261</v>
      </c>
      <c r="N62" t="s">
        <v>11</v>
      </c>
      <c r="O62">
        <v>56</v>
      </c>
      <c r="P62" t="s">
        <v>91</v>
      </c>
      <c r="Q62" t="s">
        <v>32</v>
      </c>
      <c r="R62" t="s">
        <v>33</v>
      </c>
      <c r="S62" t="s">
        <v>34</v>
      </c>
      <c r="T62" t="s">
        <v>35</v>
      </c>
      <c r="U62">
        <v>4</v>
      </c>
      <c r="V62">
        <v>83</v>
      </c>
      <c r="W62">
        <v>232.4</v>
      </c>
      <c r="X62">
        <v>5</v>
      </c>
      <c r="Y62">
        <v>883.12</v>
      </c>
      <c r="Z62">
        <v>551.12</v>
      </c>
      <c r="AA62" t="s">
        <v>36</v>
      </c>
      <c r="AB62" t="s">
        <v>129</v>
      </c>
      <c r="AC62">
        <v>4</v>
      </c>
      <c r="AD62" t="s">
        <v>105</v>
      </c>
      <c r="AE62" t="s">
        <v>20</v>
      </c>
      <c r="AF62" t="str">
        <f t="shared" si="1"/>
        <v>Yes</v>
      </c>
    </row>
    <row r="63" spans="1:32" x14ac:dyDescent="0.3">
      <c r="A63" t="s">
        <v>336</v>
      </c>
      <c r="B63" s="1">
        <v>45711</v>
      </c>
      <c r="C63" t="s">
        <v>337</v>
      </c>
      <c r="D63">
        <f t="shared" si="0"/>
        <v>17</v>
      </c>
      <c r="E63" t="s">
        <v>145</v>
      </c>
      <c r="F63" t="s">
        <v>3</v>
      </c>
      <c r="G63" t="s">
        <v>4</v>
      </c>
      <c r="H63" t="s">
        <v>122</v>
      </c>
      <c r="I63" t="s">
        <v>123</v>
      </c>
      <c r="J63" t="s">
        <v>7</v>
      </c>
      <c r="K63" t="s">
        <v>245</v>
      </c>
      <c r="L63" t="s">
        <v>338</v>
      </c>
      <c r="M63" t="s">
        <v>65</v>
      </c>
      <c r="N63" t="s">
        <v>11</v>
      </c>
      <c r="O63">
        <v>34</v>
      </c>
      <c r="P63" t="s">
        <v>54</v>
      </c>
      <c r="Q63" t="s">
        <v>77</v>
      </c>
      <c r="R63" t="s">
        <v>78</v>
      </c>
      <c r="S63" t="s">
        <v>68</v>
      </c>
      <c r="T63" t="s">
        <v>16</v>
      </c>
      <c r="U63">
        <v>3</v>
      </c>
      <c r="V63">
        <v>35</v>
      </c>
      <c r="W63">
        <v>105</v>
      </c>
      <c r="X63">
        <v>5</v>
      </c>
      <c r="Y63">
        <v>299.25</v>
      </c>
      <c r="Z63">
        <v>194.25</v>
      </c>
      <c r="AA63" t="s">
        <v>17</v>
      </c>
      <c r="AB63" t="s">
        <v>18</v>
      </c>
      <c r="AD63" t="s">
        <v>19</v>
      </c>
      <c r="AE63" t="s">
        <v>95</v>
      </c>
      <c r="AF63" t="str">
        <f t="shared" si="1"/>
        <v>No</v>
      </c>
    </row>
    <row r="64" spans="1:32" x14ac:dyDescent="0.3">
      <c r="A64" t="s">
        <v>339</v>
      </c>
      <c r="B64" s="1">
        <v>45716</v>
      </c>
      <c r="C64" t="s">
        <v>340</v>
      </c>
      <c r="D64">
        <f t="shared" si="0"/>
        <v>17</v>
      </c>
      <c r="E64" t="s">
        <v>145</v>
      </c>
      <c r="F64" t="s">
        <v>3</v>
      </c>
      <c r="G64" t="s">
        <v>40</v>
      </c>
      <c r="H64" t="s">
        <v>24</v>
      </c>
      <c r="I64" t="s">
        <v>25</v>
      </c>
      <c r="J64" t="s">
        <v>26</v>
      </c>
      <c r="K64" t="s">
        <v>270</v>
      </c>
      <c r="L64" t="s">
        <v>341</v>
      </c>
      <c r="M64" t="s">
        <v>162</v>
      </c>
      <c r="N64" t="s">
        <v>11</v>
      </c>
      <c r="O64">
        <v>18</v>
      </c>
      <c r="P64" t="s">
        <v>76</v>
      </c>
      <c r="Q64" t="s">
        <v>295</v>
      </c>
      <c r="R64" t="s">
        <v>296</v>
      </c>
      <c r="S64" t="s">
        <v>57</v>
      </c>
      <c r="T64" t="s">
        <v>35</v>
      </c>
      <c r="U64">
        <v>3</v>
      </c>
      <c r="V64">
        <v>62</v>
      </c>
      <c r="W64">
        <v>186</v>
      </c>
      <c r="X64">
        <v>15</v>
      </c>
      <c r="Y64">
        <v>474.3</v>
      </c>
      <c r="Z64">
        <v>288.3</v>
      </c>
      <c r="AA64" t="s">
        <v>179</v>
      </c>
      <c r="AB64" t="s">
        <v>44</v>
      </c>
      <c r="AD64" t="s">
        <v>19</v>
      </c>
      <c r="AE64" t="s">
        <v>20</v>
      </c>
      <c r="AF64" t="str">
        <f t="shared" si="1"/>
        <v>Yes</v>
      </c>
    </row>
    <row r="65" spans="1:32" x14ac:dyDescent="0.3">
      <c r="A65" t="s">
        <v>342</v>
      </c>
      <c r="B65" s="1">
        <v>45833</v>
      </c>
      <c r="C65" t="s">
        <v>214</v>
      </c>
      <c r="D65">
        <f t="shared" si="0"/>
        <v>7</v>
      </c>
      <c r="E65" t="s">
        <v>131</v>
      </c>
      <c r="F65" t="s">
        <v>48</v>
      </c>
      <c r="G65" t="s">
        <v>73</v>
      </c>
      <c r="H65" t="s">
        <v>81</v>
      </c>
      <c r="I65" t="s">
        <v>82</v>
      </c>
      <c r="J65" t="s">
        <v>7</v>
      </c>
      <c r="K65" t="s">
        <v>323</v>
      </c>
      <c r="L65" t="s">
        <v>343</v>
      </c>
      <c r="M65" t="s">
        <v>140</v>
      </c>
      <c r="N65" t="s">
        <v>11</v>
      </c>
      <c r="O65">
        <v>29</v>
      </c>
      <c r="P65" t="s">
        <v>91</v>
      </c>
      <c r="Q65" t="s">
        <v>327</v>
      </c>
      <c r="R65" t="s">
        <v>328</v>
      </c>
      <c r="S65" t="s">
        <v>136</v>
      </c>
      <c r="T65" t="s">
        <v>16</v>
      </c>
      <c r="U65">
        <v>4</v>
      </c>
      <c r="V65">
        <v>73</v>
      </c>
      <c r="W65">
        <v>160.6</v>
      </c>
      <c r="X65">
        <v>15</v>
      </c>
      <c r="Y65">
        <v>546.04</v>
      </c>
      <c r="Z65">
        <v>254.04</v>
      </c>
      <c r="AA65" t="s">
        <v>69</v>
      </c>
      <c r="AB65" t="s">
        <v>37</v>
      </c>
      <c r="AC65">
        <v>4</v>
      </c>
      <c r="AD65" t="s">
        <v>105</v>
      </c>
      <c r="AE65" t="s">
        <v>20</v>
      </c>
      <c r="AF65" t="str">
        <f t="shared" si="1"/>
        <v>Yes</v>
      </c>
    </row>
    <row r="66" spans="1:32" x14ac:dyDescent="0.3">
      <c r="A66" t="s">
        <v>344</v>
      </c>
      <c r="B66" s="1">
        <v>45699</v>
      </c>
      <c r="C66" t="s">
        <v>345</v>
      </c>
      <c r="D66">
        <f t="shared" ref="D66:D129" si="2">HOUR(C66)</f>
        <v>18</v>
      </c>
      <c r="E66" t="s">
        <v>145</v>
      </c>
      <c r="F66" t="s">
        <v>3</v>
      </c>
      <c r="G66" t="s">
        <v>181</v>
      </c>
      <c r="H66" t="s">
        <v>164</v>
      </c>
      <c r="I66" t="s">
        <v>165</v>
      </c>
      <c r="J66" t="s">
        <v>166</v>
      </c>
      <c r="K66" t="s">
        <v>346</v>
      </c>
      <c r="L66" t="s">
        <v>347</v>
      </c>
      <c r="M66" t="s">
        <v>184</v>
      </c>
      <c r="N66" t="s">
        <v>30</v>
      </c>
      <c r="O66">
        <v>25</v>
      </c>
      <c r="P66" t="s">
        <v>31</v>
      </c>
      <c r="Q66" t="s">
        <v>185</v>
      </c>
      <c r="R66" t="s">
        <v>186</v>
      </c>
      <c r="S66" t="s">
        <v>187</v>
      </c>
      <c r="T66" t="s">
        <v>35</v>
      </c>
      <c r="U66">
        <v>1</v>
      </c>
      <c r="V66">
        <v>57</v>
      </c>
      <c r="W66">
        <v>159.6</v>
      </c>
      <c r="X66">
        <v>0</v>
      </c>
      <c r="Y66">
        <v>159.6</v>
      </c>
      <c r="Z66">
        <v>102.6</v>
      </c>
      <c r="AA66" t="s">
        <v>17</v>
      </c>
      <c r="AB66" t="s">
        <v>119</v>
      </c>
      <c r="AD66" t="s">
        <v>19</v>
      </c>
      <c r="AE66" t="s">
        <v>20</v>
      </c>
      <c r="AF66" t="str">
        <f t="shared" si="1"/>
        <v>Yes</v>
      </c>
    </row>
    <row r="67" spans="1:32" x14ac:dyDescent="0.3">
      <c r="A67" t="s">
        <v>348</v>
      </c>
      <c r="B67" s="1">
        <v>45752</v>
      </c>
      <c r="C67" t="s">
        <v>349</v>
      </c>
      <c r="D67">
        <f t="shared" si="2"/>
        <v>21</v>
      </c>
      <c r="E67" t="s">
        <v>60</v>
      </c>
      <c r="F67" t="s">
        <v>48</v>
      </c>
      <c r="G67" t="s">
        <v>132</v>
      </c>
      <c r="H67" t="s">
        <v>164</v>
      </c>
      <c r="I67" t="s">
        <v>165</v>
      </c>
      <c r="J67" t="s">
        <v>166</v>
      </c>
      <c r="K67" t="s">
        <v>83</v>
      </c>
      <c r="L67" t="s">
        <v>183</v>
      </c>
      <c r="M67" t="s">
        <v>261</v>
      </c>
      <c r="N67" t="s">
        <v>30</v>
      </c>
      <c r="O67">
        <v>64</v>
      </c>
      <c r="P67" t="s">
        <v>54</v>
      </c>
      <c r="Q67" t="s">
        <v>126</v>
      </c>
      <c r="R67" t="s">
        <v>127</v>
      </c>
      <c r="S67" t="s">
        <v>128</v>
      </c>
      <c r="T67" t="s">
        <v>35</v>
      </c>
      <c r="U67">
        <v>2</v>
      </c>
      <c r="V67">
        <v>69</v>
      </c>
      <c r="W67">
        <v>193.2</v>
      </c>
      <c r="X67">
        <v>0</v>
      </c>
      <c r="Y67">
        <v>386.4</v>
      </c>
      <c r="Z67">
        <v>248.4</v>
      </c>
      <c r="AA67" t="s">
        <v>43</v>
      </c>
      <c r="AB67" t="s">
        <v>18</v>
      </c>
      <c r="AC67">
        <v>4</v>
      </c>
      <c r="AD67" t="s">
        <v>19</v>
      </c>
      <c r="AE67" t="s">
        <v>95</v>
      </c>
      <c r="AF67" t="str">
        <f t="shared" si="1"/>
        <v>No</v>
      </c>
    </row>
    <row r="68" spans="1:32" x14ac:dyDescent="0.3">
      <c r="A68" t="s">
        <v>350</v>
      </c>
      <c r="B68" s="1">
        <v>45766</v>
      </c>
      <c r="C68" t="s">
        <v>351</v>
      </c>
      <c r="D68">
        <f t="shared" si="2"/>
        <v>9</v>
      </c>
      <c r="E68" t="s">
        <v>60</v>
      </c>
      <c r="F68" t="s">
        <v>48</v>
      </c>
      <c r="G68" t="s">
        <v>132</v>
      </c>
      <c r="H68" t="s">
        <v>24</v>
      </c>
      <c r="I68" t="s">
        <v>25</v>
      </c>
      <c r="J68" t="s">
        <v>26</v>
      </c>
      <c r="K68" t="s">
        <v>352</v>
      </c>
      <c r="L68" t="s">
        <v>353</v>
      </c>
      <c r="M68" t="s">
        <v>53</v>
      </c>
      <c r="N68" t="s">
        <v>30</v>
      </c>
      <c r="O68">
        <v>48</v>
      </c>
      <c r="P68" t="s">
        <v>12</v>
      </c>
      <c r="Q68" t="s">
        <v>211</v>
      </c>
      <c r="R68" t="s">
        <v>212</v>
      </c>
      <c r="S68" t="s">
        <v>128</v>
      </c>
      <c r="T68" t="s">
        <v>16</v>
      </c>
      <c r="U68">
        <v>3</v>
      </c>
      <c r="V68">
        <v>50</v>
      </c>
      <c r="W68">
        <v>140</v>
      </c>
      <c r="X68">
        <v>10</v>
      </c>
      <c r="Y68">
        <v>378</v>
      </c>
      <c r="Z68">
        <v>228</v>
      </c>
      <c r="AA68" t="s">
        <v>179</v>
      </c>
      <c r="AB68" t="s">
        <v>119</v>
      </c>
      <c r="AC68">
        <v>3</v>
      </c>
      <c r="AD68" t="s">
        <v>19</v>
      </c>
      <c r="AE68" t="s">
        <v>20</v>
      </c>
      <c r="AF68" t="str">
        <f t="shared" ref="AF68:AF131" si="3">IF(AE68="Completed","Yes",IF(AE68="Cancelled","No","Review"))</f>
        <v>Yes</v>
      </c>
    </row>
    <row r="69" spans="1:32" x14ac:dyDescent="0.3">
      <c r="A69" t="s">
        <v>354</v>
      </c>
      <c r="B69" s="1">
        <v>45703</v>
      </c>
      <c r="C69" t="s">
        <v>158</v>
      </c>
      <c r="D69">
        <f t="shared" si="2"/>
        <v>8</v>
      </c>
      <c r="E69" t="s">
        <v>145</v>
      </c>
      <c r="F69" t="s">
        <v>3</v>
      </c>
      <c r="G69" t="s">
        <v>132</v>
      </c>
      <c r="H69" t="s">
        <v>99</v>
      </c>
      <c r="I69" t="s">
        <v>100</v>
      </c>
      <c r="J69" t="s">
        <v>101</v>
      </c>
      <c r="K69" t="s">
        <v>8</v>
      </c>
      <c r="L69" t="s">
        <v>355</v>
      </c>
      <c r="M69" t="s">
        <v>184</v>
      </c>
      <c r="N69" t="s">
        <v>30</v>
      </c>
      <c r="O69">
        <v>55</v>
      </c>
      <c r="P69" t="s">
        <v>54</v>
      </c>
      <c r="Q69" t="s">
        <v>262</v>
      </c>
      <c r="R69" t="s">
        <v>263</v>
      </c>
      <c r="S69" t="s">
        <v>218</v>
      </c>
      <c r="T69" t="s">
        <v>35</v>
      </c>
      <c r="U69">
        <v>3</v>
      </c>
      <c r="V69">
        <v>40</v>
      </c>
      <c r="W69">
        <v>112</v>
      </c>
      <c r="X69">
        <v>15</v>
      </c>
      <c r="Y69">
        <v>285.60000000000002</v>
      </c>
      <c r="Z69">
        <v>165.6</v>
      </c>
      <c r="AA69" t="s">
        <v>17</v>
      </c>
      <c r="AB69" t="s">
        <v>37</v>
      </c>
      <c r="AC69">
        <v>3</v>
      </c>
      <c r="AD69" t="s">
        <v>19</v>
      </c>
      <c r="AE69" t="s">
        <v>95</v>
      </c>
      <c r="AF69" t="str">
        <f t="shared" si="3"/>
        <v>No</v>
      </c>
    </row>
    <row r="70" spans="1:32" x14ac:dyDescent="0.3">
      <c r="A70" t="s">
        <v>356</v>
      </c>
      <c r="B70" s="1">
        <v>45669</v>
      </c>
      <c r="C70" t="s">
        <v>250</v>
      </c>
      <c r="D70">
        <f t="shared" si="2"/>
        <v>13</v>
      </c>
      <c r="E70" t="s">
        <v>2</v>
      </c>
      <c r="F70" t="s">
        <v>3</v>
      </c>
      <c r="G70" t="s">
        <v>4</v>
      </c>
      <c r="H70" t="s">
        <v>122</v>
      </c>
      <c r="I70" t="s">
        <v>123</v>
      </c>
      <c r="J70" t="s">
        <v>7</v>
      </c>
      <c r="K70" t="s">
        <v>51</v>
      </c>
      <c r="L70" t="s">
        <v>357</v>
      </c>
      <c r="M70" t="s">
        <v>261</v>
      </c>
      <c r="N70" t="s">
        <v>11</v>
      </c>
      <c r="O70">
        <v>50</v>
      </c>
      <c r="P70" t="s">
        <v>12</v>
      </c>
      <c r="Q70" t="s">
        <v>358</v>
      </c>
      <c r="R70" t="s">
        <v>359</v>
      </c>
      <c r="S70" t="s">
        <v>15</v>
      </c>
      <c r="T70" t="s">
        <v>35</v>
      </c>
      <c r="U70">
        <v>3</v>
      </c>
      <c r="V70">
        <v>55</v>
      </c>
      <c r="W70">
        <v>137.5</v>
      </c>
      <c r="X70">
        <v>0</v>
      </c>
      <c r="Y70">
        <v>412.5</v>
      </c>
      <c r="Z70">
        <v>247.5</v>
      </c>
      <c r="AA70" t="s">
        <v>36</v>
      </c>
      <c r="AB70" t="s">
        <v>119</v>
      </c>
      <c r="AD70" t="s">
        <v>19</v>
      </c>
      <c r="AE70" t="s">
        <v>20</v>
      </c>
      <c r="AF70" t="str">
        <f t="shared" si="3"/>
        <v>Yes</v>
      </c>
    </row>
    <row r="71" spans="1:32" x14ac:dyDescent="0.3">
      <c r="A71" t="s">
        <v>360</v>
      </c>
      <c r="B71" s="1">
        <v>45778</v>
      </c>
      <c r="C71" t="s">
        <v>199</v>
      </c>
      <c r="D71">
        <f t="shared" si="2"/>
        <v>10</v>
      </c>
      <c r="E71" t="s">
        <v>47</v>
      </c>
      <c r="F71" t="s">
        <v>48</v>
      </c>
      <c r="G71" t="s">
        <v>98</v>
      </c>
      <c r="H71" t="s">
        <v>61</v>
      </c>
      <c r="I71" t="s">
        <v>62</v>
      </c>
      <c r="J71" t="s">
        <v>7</v>
      </c>
      <c r="K71" t="s">
        <v>51</v>
      </c>
      <c r="L71" t="s">
        <v>361</v>
      </c>
      <c r="M71" t="s">
        <v>10</v>
      </c>
      <c r="N71" t="s">
        <v>11</v>
      </c>
      <c r="O71">
        <v>42</v>
      </c>
      <c r="P71" t="s">
        <v>54</v>
      </c>
      <c r="Q71" t="s">
        <v>295</v>
      </c>
      <c r="R71" t="s">
        <v>296</v>
      </c>
      <c r="S71" t="s">
        <v>57</v>
      </c>
      <c r="T71" t="s">
        <v>35</v>
      </c>
      <c r="U71">
        <v>2</v>
      </c>
      <c r="V71">
        <v>62</v>
      </c>
      <c r="W71">
        <v>186</v>
      </c>
      <c r="X71">
        <v>0</v>
      </c>
      <c r="Y71">
        <v>372</v>
      </c>
      <c r="Z71">
        <v>248</v>
      </c>
      <c r="AA71" t="s">
        <v>43</v>
      </c>
      <c r="AB71" t="s">
        <v>119</v>
      </c>
      <c r="AC71">
        <v>4</v>
      </c>
      <c r="AD71" t="s">
        <v>105</v>
      </c>
      <c r="AE71" t="s">
        <v>20</v>
      </c>
      <c r="AF71" t="str">
        <f t="shared" si="3"/>
        <v>Yes</v>
      </c>
    </row>
    <row r="72" spans="1:32" x14ac:dyDescent="0.3">
      <c r="A72" t="s">
        <v>362</v>
      </c>
      <c r="B72" s="1">
        <v>45818</v>
      </c>
      <c r="C72" t="s">
        <v>345</v>
      </c>
      <c r="D72">
        <f t="shared" si="2"/>
        <v>18</v>
      </c>
      <c r="E72" t="s">
        <v>131</v>
      </c>
      <c r="F72" t="s">
        <v>48</v>
      </c>
      <c r="G72" t="s">
        <v>181</v>
      </c>
      <c r="H72" t="s">
        <v>61</v>
      </c>
      <c r="I72" t="s">
        <v>62</v>
      </c>
      <c r="J72" t="s">
        <v>7</v>
      </c>
      <c r="K72" t="s">
        <v>8</v>
      </c>
      <c r="L72" t="s">
        <v>363</v>
      </c>
      <c r="M72" t="s">
        <v>29</v>
      </c>
      <c r="N72" t="s">
        <v>30</v>
      </c>
      <c r="O72">
        <v>50</v>
      </c>
      <c r="P72" t="s">
        <v>91</v>
      </c>
      <c r="Q72" t="s">
        <v>364</v>
      </c>
      <c r="R72" t="s">
        <v>365</v>
      </c>
      <c r="S72" t="s">
        <v>187</v>
      </c>
      <c r="T72" t="s">
        <v>35</v>
      </c>
      <c r="U72">
        <v>4</v>
      </c>
      <c r="V72">
        <v>28</v>
      </c>
      <c r="W72">
        <v>84</v>
      </c>
      <c r="X72">
        <v>5</v>
      </c>
      <c r="Y72">
        <v>319.2</v>
      </c>
      <c r="Z72">
        <v>207.2</v>
      </c>
      <c r="AA72" t="s">
        <v>179</v>
      </c>
      <c r="AB72" t="s">
        <v>37</v>
      </c>
      <c r="AC72">
        <v>4</v>
      </c>
      <c r="AD72" t="s">
        <v>19</v>
      </c>
      <c r="AE72" t="s">
        <v>20</v>
      </c>
      <c r="AF72" t="str">
        <f t="shared" si="3"/>
        <v>Yes</v>
      </c>
    </row>
    <row r="73" spans="1:32" x14ac:dyDescent="0.3">
      <c r="A73" t="s">
        <v>366</v>
      </c>
      <c r="B73" s="1">
        <v>45723</v>
      </c>
      <c r="C73" t="s">
        <v>191</v>
      </c>
      <c r="D73">
        <f t="shared" si="2"/>
        <v>19</v>
      </c>
      <c r="E73" t="s">
        <v>72</v>
      </c>
      <c r="F73" t="s">
        <v>3</v>
      </c>
      <c r="G73" t="s">
        <v>40</v>
      </c>
      <c r="H73" t="s">
        <v>49</v>
      </c>
      <c r="I73" t="s">
        <v>50</v>
      </c>
      <c r="J73" t="s">
        <v>7</v>
      </c>
      <c r="K73" t="s">
        <v>167</v>
      </c>
      <c r="L73" t="s">
        <v>367</v>
      </c>
      <c r="M73" t="s">
        <v>169</v>
      </c>
      <c r="N73" t="s">
        <v>30</v>
      </c>
      <c r="O73">
        <v>62</v>
      </c>
      <c r="P73" t="s">
        <v>31</v>
      </c>
      <c r="Q73" t="s">
        <v>291</v>
      </c>
      <c r="R73" t="s">
        <v>292</v>
      </c>
      <c r="S73" t="s">
        <v>242</v>
      </c>
      <c r="T73" t="s">
        <v>16</v>
      </c>
      <c r="U73">
        <v>2</v>
      </c>
      <c r="V73">
        <v>68</v>
      </c>
      <c r="W73">
        <v>204</v>
      </c>
      <c r="X73">
        <v>10</v>
      </c>
      <c r="Y73">
        <v>367.2</v>
      </c>
      <c r="Z73">
        <v>231.2</v>
      </c>
      <c r="AA73" t="s">
        <v>69</v>
      </c>
      <c r="AB73" t="s">
        <v>87</v>
      </c>
      <c r="AC73">
        <v>4</v>
      </c>
      <c r="AD73" t="s">
        <v>19</v>
      </c>
      <c r="AE73" t="s">
        <v>95</v>
      </c>
      <c r="AF73" t="str">
        <f t="shared" si="3"/>
        <v>No</v>
      </c>
    </row>
    <row r="74" spans="1:32" x14ac:dyDescent="0.3">
      <c r="A74" t="s">
        <v>368</v>
      </c>
      <c r="B74" s="1">
        <v>45699</v>
      </c>
      <c r="C74" t="s">
        <v>340</v>
      </c>
      <c r="D74">
        <f t="shared" si="2"/>
        <v>17</v>
      </c>
      <c r="E74" t="s">
        <v>145</v>
      </c>
      <c r="F74" t="s">
        <v>3</v>
      </c>
      <c r="G74" t="s">
        <v>181</v>
      </c>
      <c r="H74" t="s">
        <v>164</v>
      </c>
      <c r="I74" t="s">
        <v>165</v>
      </c>
      <c r="J74" t="s">
        <v>166</v>
      </c>
      <c r="K74" t="s">
        <v>124</v>
      </c>
      <c r="L74" t="s">
        <v>369</v>
      </c>
      <c r="M74" t="s">
        <v>140</v>
      </c>
      <c r="N74" t="s">
        <v>11</v>
      </c>
      <c r="O74">
        <v>59</v>
      </c>
      <c r="P74" t="s">
        <v>54</v>
      </c>
      <c r="Q74" t="s">
        <v>370</v>
      </c>
      <c r="R74" t="s">
        <v>371</v>
      </c>
      <c r="S74" t="s">
        <v>111</v>
      </c>
      <c r="T74" t="s">
        <v>35</v>
      </c>
      <c r="U74">
        <v>4</v>
      </c>
      <c r="V74">
        <v>99</v>
      </c>
      <c r="W74">
        <v>247.5</v>
      </c>
      <c r="X74">
        <v>0</v>
      </c>
      <c r="Y74">
        <v>990</v>
      </c>
      <c r="Z74">
        <v>594</v>
      </c>
      <c r="AA74" t="s">
        <v>69</v>
      </c>
      <c r="AB74" t="s">
        <v>129</v>
      </c>
      <c r="AD74" t="s">
        <v>105</v>
      </c>
      <c r="AE74" t="s">
        <v>20</v>
      </c>
      <c r="AF74" t="str">
        <f t="shared" si="3"/>
        <v>Yes</v>
      </c>
    </row>
    <row r="75" spans="1:32" x14ac:dyDescent="0.3">
      <c r="A75" t="s">
        <v>372</v>
      </c>
      <c r="B75" s="1">
        <v>45810</v>
      </c>
      <c r="C75" t="s">
        <v>373</v>
      </c>
      <c r="D75">
        <f t="shared" si="2"/>
        <v>9</v>
      </c>
      <c r="E75" t="s">
        <v>131</v>
      </c>
      <c r="F75" t="s">
        <v>48</v>
      </c>
      <c r="G75" t="s">
        <v>23</v>
      </c>
      <c r="H75" t="s">
        <v>122</v>
      </c>
      <c r="I75" t="s">
        <v>123</v>
      </c>
      <c r="J75" t="s">
        <v>7</v>
      </c>
      <c r="K75" t="s">
        <v>346</v>
      </c>
      <c r="L75" t="s">
        <v>343</v>
      </c>
      <c r="M75" t="s">
        <v>10</v>
      </c>
      <c r="N75" t="s">
        <v>11</v>
      </c>
      <c r="O75">
        <v>30</v>
      </c>
      <c r="P75" t="s">
        <v>91</v>
      </c>
      <c r="Q75" t="s">
        <v>374</v>
      </c>
      <c r="R75" t="s">
        <v>375</v>
      </c>
      <c r="S75" t="s">
        <v>57</v>
      </c>
      <c r="T75" t="s">
        <v>16</v>
      </c>
      <c r="U75">
        <v>4</v>
      </c>
      <c r="V75">
        <v>80</v>
      </c>
      <c r="W75">
        <v>200</v>
      </c>
      <c r="X75">
        <v>15</v>
      </c>
      <c r="Y75">
        <v>680</v>
      </c>
      <c r="Z75">
        <v>360</v>
      </c>
      <c r="AA75" t="s">
        <v>36</v>
      </c>
      <c r="AB75" t="s">
        <v>18</v>
      </c>
      <c r="AC75">
        <v>4</v>
      </c>
      <c r="AD75" t="s">
        <v>19</v>
      </c>
      <c r="AE75" t="s">
        <v>20</v>
      </c>
      <c r="AF75" t="str">
        <f t="shared" si="3"/>
        <v>Yes</v>
      </c>
    </row>
    <row r="76" spans="1:32" x14ac:dyDescent="0.3">
      <c r="A76" t="s">
        <v>376</v>
      </c>
      <c r="B76" s="1">
        <v>45689</v>
      </c>
      <c r="C76" t="s">
        <v>377</v>
      </c>
      <c r="D76">
        <f t="shared" si="2"/>
        <v>21</v>
      </c>
      <c r="E76" t="s">
        <v>145</v>
      </c>
      <c r="F76" t="s">
        <v>3</v>
      </c>
      <c r="G76" t="s">
        <v>132</v>
      </c>
      <c r="H76" t="s">
        <v>99</v>
      </c>
      <c r="I76" t="s">
        <v>100</v>
      </c>
      <c r="J76" t="s">
        <v>101</v>
      </c>
      <c r="K76" t="s">
        <v>196</v>
      </c>
      <c r="L76" t="s">
        <v>378</v>
      </c>
      <c r="M76" t="s">
        <v>261</v>
      </c>
      <c r="N76" t="s">
        <v>30</v>
      </c>
      <c r="O76">
        <v>62</v>
      </c>
      <c r="P76" t="s">
        <v>91</v>
      </c>
      <c r="Q76" t="s">
        <v>55</v>
      </c>
      <c r="R76" t="s">
        <v>56</v>
      </c>
      <c r="S76" t="s">
        <v>57</v>
      </c>
      <c r="T76" t="s">
        <v>35</v>
      </c>
      <c r="U76">
        <v>1</v>
      </c>
      <c r="V76">
        <v>36</v>
      </c>
      <c r="W76">
        <v>79.2</v>
      </c>
      <c r="X76">
        <v>0</v>
      </c>
      <c r="Y76">
        <v>79.2</v>
      </c>
      <c r="Z76">
        <v>43.2</v>
      </c>
      <c r="AA76" t="s">
        <v>36</v>
      </c>
      <c r="AB76" t="s">
        <v>129</v>
      </c>
      <c r="AC76">
        <v>4</v>
      </c>
      <c r="AD76" t="s">
        <v>105</v>
      </c>
      <c r="AE76" t="s">
        <v>20</v>
      </c>
      <c r="AF76" t="str">
        <f t="shared" si="3"/>
        <v>Yes</v>
      </c>
    </row>
    <row r="77" spans="1:32" x14ac:dyDescent="0.3">
      <c r="A77" t="s">
        <v>379</v>
      </c>
      <c r="B77" s="1">
        <v>45686</v>
      </c>
      <c r="C77" t="s">
        <v>97</v>
      </c>
      <c r="D77">
        <f t="shared" si="2"/>
        <v>7</v>
      </c>
      <c r="E77" t="s">
        <v>2</v>
      </c>
      <c r="F77" t="s">
        <v>3</v>
      </c>
      <c r="G77" t="s">
        <v>73</v>
      </c>
      <c r="H77" t="s">
        <v>150</v>
      </c>
      <c r="I77" t="s">
        <v>151</v>
      </c>
      <c r="J77" t="s">
        <v>152</v>
      </c>
      <c r="K77" t="s">
        <v>138</v>
      </c>
      <c r="L77" t="s">
        <v>380</v>
      </c>
      <c r="M77" t="s">
        <v>65</v>
      </c>
      <c r="N77" t="s">
        <v>30</v>
      </c>
      <c r="O77">
        <v>19</v>
      </c>
      <c r="P77" t="s">
        <v>76</v>
      </c>
      <c r="Q77" t="s">
        <v>216</v>
      </c>
      <c r="R77" t="s">
        <v>217</v>
      </c>
      <c r="S77" t="s">
        <v>218</v>
      </c>
      <c r="T77" t="s">
        <v>35</v>
      </c>
      <c r="U77">
        <v>1</v>
      </c>
      <c r="V77">
        <v>67</v>
      </c>
      <c r="W77">
        <v>187.6</v>
      </c>
      <c r="X77">
        <v>0</v>
      </c>
      <c r="Y77">
        <v>187.6</v>
      </c>
      <c r="Z77">
        <v>120.6</v>
      </c>
      <c r="AA77" t="s">
        <v>43</v>
      </c>
      <c r="AB77" t="s">
        <v>44</v>
      </c>
      <c r="AC77">
        <v>3</v>
      </c>
      <c r="AD77" t="s">
        <v>19</v>
      </c>
      <c r="AE77" t="s">
        <v>20</v>
      </c>
      <c r="AF77" t="str">
        <f t="shared" si="3"/>
        <v>Yes</v>
      </c>
    </row>
    <row r="78" spans="1:32" x14ac:dyDescent="0.3">
      <c r="A78" t="s">
        <v>381</v>
      </c>
      <c r="B78" s="1">
        <v>45770</v>
      </c>
      <c r="C78" t="s">
        <v>283</v>
      </c>
      <c r="D78">
        <f t="shared" si="2"/>
        <v>14</v>
      </c>
      <c r="E78" t="s">
        <v>60</v>
      </c>
      <c r="F78" t="s">
        <v>48</v>
      </c>
      <c r="G78" t="s">
        <v>73</v>
      </c>
      <c r="H78" t="s">
        <v>122</v>
      </c>
      <c r="I78" t="s">
        <v>123</v>
      </c>
      <c r="J78" t="s">
        <v>7</v>
      </c>
      <c r="K78" t="s">
        <v>51</v>
      </c>
      <c r="L78" t="s">
        <v>382</v>
      </c>
      <c r="M78" t="s">
        <v>10</v>
      </c>
      <c r="N78" t="s">
        <v>11</v>
      </c>
      <c r="O78">
        <v>27</v>
      </c>
      <c r="P78" t="s">
        <v>91</v>
      </c>
      <c r="Q78" t="s">
        <v>185</v>
      </c>
      <c r="R78" t="s">
        <v>186</v>
      </c>
      <c r="S78" t="s">
        <v>187</v>
      </c>
      <c r="T78" t="s">
        <v>35</v>
      </c>
      <c r="U78">
        <v>1</v>
      </c>
      <c r="V78">
        <v>57</v>
      </c>
      <c r="W78">
        <v>159.6</v>
      </c>
      <c r="X78">
        <v>10</v>
      </c>
      <c r="Y78">
        <v>143.63999999999999</v>
      </c>
      <c r="Z78">
        <v>86.64</v>
      </c>
      <c r="AA78" t="s">
        <v>17</v>
      </c>
      <c r="AB78" t="s">
        <v>119</v>
      </c>
      <c r="AC78">
        <v>3</v>
      </c>
      <c r="AD78" t="s">
        <v>105</v>
      </c>
      <c r="AE78" t="s">
        <v>20</v>
      </c>
      <c r="AF78" t="str">
        <f t="shared" si="3"/>
        <v>Yes</v>
      </c>
    </row>
    <row r="79" spans="1:32" x14ac:dyDescent="0.3">
      <c r="A79" t="s">
        <v>383</v>
      </c>
      <c r="B79" s="1">
        <v>45741</v>
      </c>
      <c r="C79" t="s">
        <v>384</v>
      </c>
      <c r="D79">
        <f t="shared" si="2"/>
        <v>15</v>
      </c>
      <c r="E79" t="s">
        <v>72</v>
      </c>
      <c r="F79" t="s">
        <v>3</v>
      </c>
      <c r="G79" t="s">
        <v>181</v>
      </c>
      <c r="H79" t="s">
        <v>122</v>
      </c>
      <c r="I79" t="s">
        <v>123</v>
      </c>
      <c r="J79" t="s">
        <v>7</v>
      </c>
      <c r="K79" t="s">
        <v>306</v>
      </c>
      <c r="L79" t="s">
        <v>271</v>
      </c>
      <c r="M79" t="s">
        <v>162</v>
      </c>
      <c r="N79" t="s">
        <v>11</v>
      </c>
      <c r="O79">
        <v>43</v>
      </c>
      <c r="P79" t="s">
        <v>76</v>
      </c>
      <c r="Q79" t="s">
        <v>226</v>
      </c>
      <c r="R79" t="s">
        <v>227</v>
      </c>
      <c r="S79" t="s">
        <v>68</v>
      </c>
      <c r="T79" t="s">
        <v>35</v>
      </c>
      <c r="U79">
        <v>4</v>
      </c>
      <c r="V79">
        <v>43</v>
      </c>
      <c r="W79">
        <v>94.6</v>
      </c>
      <c r="X79">
        <v>15</v>
      </c>
      <c r="Y79">
        <v>321.64</v>
      </c>
      <c r="Z79">
        <v>149.63999999999999</v>
      </c>
      <c r="AA79" t="s">
        <v>36</v>
      </c>
      <c r="AB79" t="s">
        <v>18</v>
      </c>
      <c r="AC79">
        <v>5</v>
      </c>
      <c r="AD79" t="s">
        <v>105</v>
      </c>
      <c r="AE79" t="s">
        <v>20</v>
      </c>
      <c r="AF79" t="str">
        <f t="shared" si="3"/>
        <v>Yes</v>
      </c>
    </row>
    <row r="80" spans="1:32" x14ac:dyDescent="0.3">
      <c r="A80" t="s">
        <v>385</v>
      </c>
      <c r="B80" s="1">
        <v>45820</v>
      </c>
      <c r="C80" t="s">
        <v>340</v>
      </c>
      <c r="D80">
        <f t="shared" si="2"/>
        <v>17</v>
      </c>
      <c r="E80" t="s">
        <v>131</v>
      </c>
      <c r="F80" t="s">
        <v>48</v>
      </c>
      <c r="G80" t="s">
        <v>98</v>
      </c>
      <c r="H80" t="s">
        <v>164</v>
      </c>
      <c r="I80" t="s">
        <v>165</v>
      </c>
      <c r="J80" t="s">
        <v>166</v>
      </c>
      <c r="K80" t="s">
        <v>63</v>
      </c>
      <c r="L80" t="s">
        <v>386</v>
      </c>
      <c r="M80" t="s">
        <v>29</v>
      </c>
      <c r="N80" t="s">
        <v>11</v>
      </c>
      <c r="O80">
        <v>53</v>
      </c>
      <c r="P80" t="s">
        <v>91</v>
      </c>
      <c r="Q80" t="s">
        <v>176</v>
      </c>
      <c r="R80" t="s">
        <v>177</v>
      </c>
      <c r="S80" t="s">
        <v>178</v>
      </c>
      <c r="T80" t="s">
        <v>16</v>
      </c>
      <c r="U80">
        <v>1</v>
      </c>
      <c r="V80">
        <v>56</v>
      </c>
      <c r="W80">
        <v>156.80000000000001</v>
      </c>
      <c r="X80">
        <v>15</v>
      </c>
      <c r="Y80">
        <v>133.28</v>
      </c>
      <c r="Z80">
        <v>77.28</v>
      </c>
      <c r="AA80" t="s">
        <v>36</v>
      </c>
      <c r="AB80" t="s">
        <v>44</v>
      </c>
      <c r="AD80" t="s">
        <v>105</v>
      </c>
      <c r="AE80" t="s">
        <v>20</v>
      </c>
      <c r="AF80" t="str">
        <f t="shared" si="3"/>
        <v>Yes</v>
      </c>
    </row>
    <row r="81" spans="1:32" x14ac:dyDescent="0.3">
      <c r="A81" t="s">
        <v>387</v>
      </c>
      <c r="B81" s="1">
        <v>45768</v>
      </c>
      <c r="C81" t="s">
        <v>388</v>
      </c>
      <c r="D81">
        <f t="shared" si="2"/>
        <v>19</v>
      </c>
      <c r="E81" t="s">
        <v>60</v>
      </c>
      <c r="F81" t="s">
        <v>48</v>
      </c>
      <c r="G81" t="s">
        <v>23</v>
      </c>
      <c r="H81" t="s">
        <v>81</v>
      </c>
      <c r="I81" t="s">
        <v>82</v>
      </c>
      <c r="J81" t="s">
        <v>7</v>
      </c>
      <c r="K81" t="s">
        <v>318</v>
      </c>
      <c r="L81" t="s">
        <v>355</v>
      </c>
      <c r="M81" t="s">
        <v>162</v>
      </c>
      <c r="N81" t="s">
        <v>11</v>
      </c>
      <c r="O81">
        <v>50</v>
      </c>
      <c r="P81" t="s">
        <v>12</v>
      </c>
      <c r="Q81" t="s">
        <v>295</v>
      </c>
      <c r="R81" t="s">
        <v>296</v>
      </c>
      <c r="S81" t="s">
        <v>57</v>
      </c>
      <c r="T81" t="s">
        <v>35</v>
      </c>
      <c r="U81">
        <v>1</v>
      </c>
      <c r="V81">
        <v>62</v>
      </c>
      <c r="W81">
        <v>186</v>
      </c>
      <c r="X81">
        <v>15</v>
      </c>
      <c r="Y81">
        <v>158.1</v>
      </c>
      <c r="Z81">
        <v>96.1</v>
      </c>
      <c r="AA81" t="s">
        <v>17</v>
      </c>
      <c r="AB81" t="s">
        <v>37</v>
      </c>
      <c r="AD81" t="s">
        <v>105</v>
      </c>
      <c r="AE81" t="s">
        <v>95</v>
      </c>
      <c r="AF81" t="str">
        <f t="shared" si="3"/>
        <v>No</v>
      </c>
    </row>
    <row r="82" spans="1:32" x14ac:dyDescent="0.3">
      <c r="A82" t="s">
        <v>389</v>
      </c>
      <c r="B82" s="1">
        <v>45749</v>
      </c>
      <c r="C82" t="s">
        <v>174</v>
      </c>
      <c r="D82">
        <f t="shared" si="2"/>
        <v>17</v>
      </c>
      <c r="E82" t="s">
        <v>60</v>
      </c>
      <c r="F82" t="s">
        <v>48</v>
      </c>
      <c r="G82" t="s">
        <v>73</v>
      </c>
      <c r="H82" t="s">
        <v>81</v>
      </c>
      <c r="I82" t="s">
        <v>82</v>
      </c>
      <c r="J82" t="s">
        <v>7</v>
      </c>
      <c r="K82" t="s">
        <v>167</v>
      </c>
      <c r="L82" t="s">
        <v>338</v>
      </c>
      <c r="M82" t="s">
        <v>162</v>
      </c>
      <c r="N82" t="s">
        <v>30</v>
      </c>
      <c r="O82">
        <v>53</v>
      </c>
      <c r="P82" t="s">
        <v>31</v>
      </c>
      <c r="Q82" t="s">
        <v>390</v>
      </c>
      <c r="R82" t="s">
        <v>391</v>
      </c>
      <c r="S82" t="s">
        <v>172</v>
      </c>
      <c r="T82" t="s">
        <v>16</v>
      </c>
      <c r="U82">
        <v>1</v>
      </c>
      <c r="V82">
        <v>69</v>
      </c>
      <c r="W82">
        <v>193.2</v>
      </c>
      <c r="X82">
        <v>15</v>
      </c>
      <c r="Y82">
        <v>164.22</v>
      </c>
      <c r="Z82">
        <v>95.22</v>
      </c>
      <c r="AA82" t="s">
        <v>43</v>
      </c>
      <c r="AB82" t="s">
        <v>37</v>
      </c>
      <c r="AC82">
        <v>5</v>
      </c>
      <c r="AD82" t="s">
        <v>105</v>
      </c>
      <c r="AE82" t="s">
        <v>20</v>
      </c>
      <c r="AF82" t="str">
        <f t="shared" si="3"/>
        <v>Yes</v>
      </c>
    </row>
    <row r="83" spans="1:32" x14ac:dyDescent="0.3">
      <c r="A83" t="s">
        <v>392</v>
      </c>
      <c r="B83" s="1">
        <v>45684</v>
      </c>
      <c r="C83" t="s">
        <v>89</v>
      </c>
      <c r="D83">
        <f t="shared" si="2"/>
        <v>13</v>
      </c>
      <c r="E83" t="s">
        <v>2</v>
      </c>
      <c r="F83" t="s">
        <v>3</v>
      </c>
      <c r="G83" t="s">
        <v>23</v>
      </c>
      <c r="H83" t="s">
        <v>49</v>
      </c>
      <c r="I83" t="s">
        <v>50</v>
      </c>
      <c r="J83" t="s">
        <v>7</v>
      </c>
      <c r="K83" t="s">
        <v>318</v>
      </c>
      <c r="L83" t="s">
        <v>168</v>
      </c>
      <c r="M83" t="s">
        <v>162</v>
      </c>
      <c r="N83" t="s">
        <v>30</v>
      </c>
      <c r="O83">
        <v>36</v>
      </c>
      <c r="P83" t="s">
        <v>12</v>
      </c>
      <c r="Q83" t="s">
        <v>374</v>
      </c>
      <c r="R83" t="s">
        <v>375</v>
      </c>
      <c r="S83" t="s">
        <v>57</v>
      </c>
      <c r="T83" t="s">
        <v>16</v>
      </c>
      <c r="U83">
        <v>1</v>
      </c>
      <c r="V83">
        <v>80</v>
      </c>
      <c r="W83">
        <v>200</v>
      </c>
      <c r="X83">
        <v>10</v>
      </c>
      <c r="Y83">
        <v>180</v>
      </c>
      <c r="Z83">
        <v>100</v>
      </c>
      <c r="AA83" t="s">
        <v>17</v>
      </c>
      <c r="AB83" t="s">
        <v>18</v>
      </c>
      <c r="AC83">
        <v>4</v>
      </c>
      <c r="AD83" t="s">
        <v>105</v>
      </c>
      <c r="AE83" t="s">
        <v>20</v>
      </c>
      <c r="AF83" t="str">
        <f t="shared" si="3"/>
        <v>Yes</v>
      </c>
    </row>
    <row r="84" spans="1:32" x14ac:dyDescent="0.3">
      <c r="A84" t="s">
        <v>393</v>
      </c>
      <c r="B84" s="1">
        <v>45702</v>
      </c>
      <c r="C84" t="s">
        <v>265</v>
      </c>
      <c r="D84">
        <f t="shared" si="2"/>
        <v>7</v>
      </c>
      <c r="E84" t="s">
        <v>145</v>
      </c>
      <c r="F84" t="s">
        <v>3</v>
      </c>
      <c r="G84" t="s">
        <v>40</v>
      </c>
      <c r="H84" t="s">
        <v>24</v>
      </c>
      <c r="I84" t="s">
        <v>25</v>
      </c>
      <c r="J84" t="s">
        <v>26</v>
      </c>
      <c r="K84" t="s">
        <v>138</v>
      </c>
      <c r="L84" t="s">
        <v>394</v>
      </c>
      <c r="M84" t="s">
        <v>140</v>
      </c>
      <c r="N84" t="s">
        <v>11</v>
      </c>
      <c r="O84">
        <v>43</v>
      </c>
      <c r="P84" t="s">
        <v>31</v>
      </c>
      <c r="Q84" t="s">
        <v>85</v>
      </c>
      <c r="R84" t="s">
        <v>86</v>
      </c>
      <c r="S84" t="s">
        <v>34</v>
      </c>
      <c r="T84" t="s">
        <v>16</v>
      </c>
      <c r="U84">
        <v>4</v>
      </c>
      <c r="V84">
        <v>27</v>
      </c>
      <c r="W84">
        <v>81</v>
      </c>
      <c r="X84">
        <v>0</v>
      </c>
      <c r="Y84">
        <v>324</v>
      </c>
      <c r="Z84">
        <v>216</v>
      </c>
      <c r="AA84" t="s">
        <v>17</v>
      </c>
      <c r="AB84" t="s">
        <v>129</v>
      </c>
      <c r="AC84">
        <v>5</v>
      </c>
      <c r="AD84" t="s">
        <v>19</v>
      </c>
      <c r="AE84" t="s">
        <v>95</v>
      </c>
      <c r="AF84" t="str">
        <f t="shared" si="3"/>
        <v>No</v>
      </c>
    </row>
    <row r="85" spans="1:32" x14ac:dyDescent="0.3">
      <c r="A85" t="s">
        <v>395</v>
      </c>
      <c r="B85" s="1">
        <v>45723</v>
      </c>
      <c r="C85" t="s">
        <v>396</v>
      </c>
      <c r="D85">
        <f t="shared" si="2"/>
        <v>16</v>
      </c>
      <c r="E85" t="s">
        <v>72</v>
      </c>
      <c r="F85" t="s">
        <v>3</v>
      </c>
      <c r="G85" t="s">
        <v>40</v>
      </c>
      <c r="H85" t="s">
        <v>49</v>
      </c>
      <c r="I85" t="s">
        <v>50</v>
      </c>
      <c r="J85" t="s">
        <v>7</v>
      </c>
      <c r="K85" t="s">
        <v>63</v>
      </c>
      <c r="L85" t="s">
        <v>397</v>
      </c>
      <c r="M85" t="s">
        <v>162</v>
      </c>
      <c r="N85" t="s">
        <v>30</v>
      </c>
      <c r="O85">
        <v>19</v>
      </c>
      <c r="P85" t="s">
        <v>91</v>
      </c>
      <c r="Q85" t="s">
        <v>170</v>
      </c>
      <c r="R85" t="s">
        <v>171</v>
      </c>
      <c r="S85" t="s">
        <v>172</v>
      </c>
      <c r="T85" t="s">
        <v>35</v>
      </c>
      <c r="U85">
        <v>1</v>
      </c>
      <c r="V85">
        <v>72</v>
      </c>
      <c r="W85">
        <v>216</v>
      </c>
      <c r="X85">
        <v>15</v>
      </c>
      <c r="Y85">
        <v>183.6</v>
      </c>
      <c r="Z85">
        <v>111.6</v>
      </c>
      <c r="AA85" t="s">
        <v>36</v>
      </c>
      <c r="AB85" t="s">
        <v>119</v>
      </c>
      <c r="AC85">
        <v>4</v>
      </c>
      <c r="AD85" t="s">
        <v>105</v>
      </c>
      <c r="AE85" t="s">
        <v>20</v>
      </c>
      <c r="AF85" t="str">
        <f t="shared" si="3"/>
        <v>Yes</v>
      </c>
    </row>
    <row r="86" spans="1:32" x14ac:dyDescent="0.3">
      <c r="A86" t="s">
        <v>398</v>
      </c>
      <c r="B86" s="1">
        <v>45789</v>
      </c>
      <c r="C86" t="s">
        <v>399</v>
      </c>
      <c r="D86">
        <f t="shared" si="2"/>
        <v>20</v>
      </c>
      <c r="E86" t="s">
        <v>47</v>
      </c>
      <c r="F86" t="s">
        <v>48</v>
      </c>
      <c r="G86" t="s">
        <v>23</v>
      </c>
      <c r="H86" t="s">
        <v>49</v>
      </c>
      <c r="I86" t="s">
        <v>50</v>
      </c>
      <c r="J86" t="s">
        <v>7</v>
      </c>
      <c r="K86" t="s">
        <v>153</v>
      </c>
      <c r="L86" t="s">
        <v>400</v>
      </c>
      <c r="M86" t="s">
        <v>184</v>
      </c>
      <c r="N86" t="s">
        <v>30</v>
      </c>
      <c r="O86">
        <v>42</v>
      </c>
      <c r="P86" t="s">
        <v>76</v>
      </c>
      <c r="Q86" t="s">
        <v>280</v>
      </c>
      <c r="R86" t="s">
        <v>281</v>
      </c>
      <c r="S86" t="s">
        <v>218</v>
      </c>
      <c r="T86" t="s">
        <v>16</v>
      </c>
      <c r="U86">
        <v>1</v>
      </c>
      <c r="V86">
        <v>34</v>
      </c>
      <c r="W86">
        <v>74.8</v>
      </c>
      <c r="X86">
        <v>10</v>
      </c>
      <c r="Y86">
        <v>67.319999999999993</v>
      </c>
      <c r="Z86">
        <v>33.32</v>
      </c>
      <c r="AA86" t="s">
        <v>17</v>
      </c>
      <c r="AB86" t="s">
        <v>44</v>
      </c>
      <c r="AD86" t="s">
        <v>19</v>
      </c>
      <c r="AE86" t="s">
        <v>20</v>
      </c>
      <c r="AF86" t="str">
        <f t="shared" si="3"/>
        <v>Yes</v>
      </c>
    </row>
    <row r="87" spans="1:32" x14ac:dyDescent="0.3">
      <c r="A87" t="s">
        <v>401</v>
      </c>
      <c r="B87" s="1">
        <v>45815</v>
      </c>
      <c r="C87" t="s">
        <v>158</v>
      </c>
      <c r="D87">
        <f t="shared" si="2"/>
        <v>8</v>
      </c>
      <c r="E87" t="s">
        <v>131</v>
      </c>
      <c r="F87" t="s">
        <v>48</v>
      </c>
      <c r="G87" t="s">
        <v>132</v>
      </c>
      <c r="H87" t="s">
        <v>5</v>
      </c>
      <c r="I87" t="s">
        <v>6</v>
      </c>
      <c r="J87" t="s">
        <v>7</v>
      </c>
      <c r="K87" t="s">
        <v>323</v>
      </c>
      <c r="L87" t="s">
        <v>402</v>
      </c>
      <c r="M87" t="s">
        <v>65</v>
      </c>
      <c r="N87" t="s">
        <v>30</v>
      </c>
      <c r="O87">
        <v>55</v>
      </c>
      <c r="P87" t="s">
        <v>54</v>
      </c>
      <c r="Q87" t="s">
        <v>280</v>
      </c>
      <c r="R87" t="s">
        <v>281</v>
      </c>
      <c r="S87" t="s">
        <v>218</v>
      </c>
      <c r="T87" t="s">
        <v>16</v>
      </c>
      <c r="U87">
        <v>4</v>
      </c>
      <c r="V87">
        <v>34</v>
      </c>
      <c r="W87">
        <v>74.8</v>
      </c>
      <c r="X87">
        <v>5</v>
      </c>
      <c r="Y87">
        <v>284.24</v>
      </c>
      <c r="Z87">
        <v>148.24</v>
      </c>
      <c r="AA87" t="s">
        <v>43</v>
      </c>
      <c r="AB87" t="s">
        <v>129</v>
      </c>
      <c r="AC87">
        <v>3</v>
      </c>
      <c r="AD87" t="s">
        <v>19</v>
      </c>
      <c r="AE87" t="s">
        <v>95</v>
      </c>
      <c r="AF87" t="str">
        <f t="shared" si="3"/>
        <v>No</v>
      </c>
    </row>
    <row r="88" spans="1:32" x14ac:dyDescent="0.3">
      <c r="A88" t="s">
        <v>403</v>
      </c>
      <c r="B88" s="1">
        <v>45676</v>
      </c>
      <c r="C88" t="s">
        <v>345</v>
      </c>
      <c r="D88">
        <f t="shared" si="2"/>
        <v>18</v>
      </c>
      <c r="E88" t="s">
        <v>2</v>
      </c>
      <c r="F88" t="s">
        <v>3</v>
      </c>
      <c r="G88" t="s">
        <v>4</v>
      </c>
      <c r="H88" t="s">
        <v>150</v>
      </c>
      <c r="I88" t="s">
        <v>151</v>
      </c>
      <c r="J88" t="s">
        <v>152</v>
      </c>
      <c r="K88" t="s">
        <v>114</v>
      </c>
      <c r="L88" t="s">
        <v>290</v>
      </c>
      <c r="M88" t="s">
        <v>162</v>
      </c>
      <c r="N88" t="s">
        <v>30</v>
      </c>
      <c r="O88">
        <v>40</v>
      </c>
      <c r="P88" t="s">
        <v>54</v>
      </c>
      <c r="Q88" t="s">
        <v>66</v>
      </c>
      <c r="R88" t="s">
        <v>67</v>
      </c>
      <c r="S88" t="s">
        <v>68</v>
      </c>
      <c r="T88" t="s">
        <v>16</v>
      </c>
      <c r="U88">
        <v>3</v>
      </c>
      <c r="V88">
        <v>43</v>
      </c>
      <c r="W88">
        <v>120.4</v>
      </c>
      <c r="X88">
        <v>5</v>
      </c>
      <c r="Y88">
        <v>343.14</v>
      </c>
      <c r="Z88">
        <v>214.14</v>
      </c>
      <c r="AA88" t="s">
        <v>36</v>
      </c>
      <c r="AB88" t="s">
        <v>44</v>
      </c>
      <c r="AD88" t="s">
        <v>105</v>
      </c>
      <c r="AE88" t="s">
        <v>95</v>
      </c>
      <c r="AF88" t="str">
        <f t="shared" si="3"/>
        <v>No</v>
      </c>
    </row>
    <row r="89" spans="1:32" x14ac:dyDescent="0.3">
      <c r="A89" t="s">
        <v>404</v>
      </c>
      <c r="B89" s="1">
        <v>45787</v>
      </c>
      <c r="C89" t="s">
        <v>144</v>
      </c>
      <c r="D89">
        <f t="shared" si="2"/>
        <v>20</v>
      </c>
      <c r="E89" t="s">
        <v>47</v>
      </c>
      <c r="F89" t="s">
        <v>48</v>
      </c>
      <c r="G89" t="s">
        <v>132</v>
      </c>
      <c r="H89" t="s">
        <v>5</v>
      </c>
      <c r="I89" t="s">
        <v>6</v>
      </c>
      <c r="J89" t="s">
        <v>7</v>
      </c>
      <c r="K89" t="s">
        <v>138</v>
      </c>
      <c r="L89" t="s">
        <v>405</v>
      </c>
      <c r="M89" t="s">
        <v>225</v>
      </c>
      <c r="N89" t="s">
        <v>30</v>
      </c>
      <c r="O89">
        <v>53</v>
      </c>
      <c r="P89" t="s">
        <v>76</v>
      </c>
      <c r="Q89" t="s">
        <v>193</v>
      </c>
      <c r="R89" t="s">
        <v>194</v>
      </c>
      <c r="S89" t="s">
        <v>172</v>
      </c>
      <c r="T89" t="s">
        <v>35</v>
      </c>
      <c r="U89">
        <v>2</v>
      </c>
      <c r="V89">
        <v>35</v>
      </c>
      <c r="W89">
        <v>87.5</v>
      </c>
      <c r="X89">
        <v>0</v>
      </c>
      <c r="Y89">
        <v>175</v>
      </c>
      <c r="Z89">
        <v>105</v>
      </c>
      <c r="AA89" t="s">
        <v>69</v>
      </c>
      <c r="AB89" t="s">
        <v>37</v>
      </c>
      <c r="AC89">
        <v>3</v>
      </c>
      <c r="AD89" t="s">
        <v>105</v>
      </c>
      <c r="AE89" t="s">
        <v>20</v>
      </c>
      <c r="AF89" t="str">
        <f t="shared" si="3"/>
        <v>Yes</v>
      </c>
    </row>
    <row r="90" spans="1:32" x14ac:dyDescent="0.3">
      <c r="A90" t="s">
        <v>406</v>
      </c>
      <c r="B90" s="1">
        <v>45794</v>
      </c>
      <c r="C90" t="s">
        <v>407</v>
      </c>
      <c r="D90">
        <f t="shared" si="2"/>
        <v>8</v>
      </c>
      <c r="E90" t="s">
        <v>47</v>
      </c>
      <c r="F90" t="s">
        <v>48</v>
      </c>
      <c r="G90" t="s">
        <v>132</v>
      </c>
      <c r="H90" t="s">
        <v>159</v>
      </c>
      <c r="I90" t="s">
        <v>160</v>
      </c>
      <c r="J90" t="s">
        <v>161</v>
      </c>
      <c r="K90" t="s">
        <v>8</v>
      </c>
      <c r="L90" t="s">
        <v>408</v>
      </c>
      <c r="M90" t="s">
        <v>29</v>
      </c>
      <c r="N90" t="s">
        <v>11</v>
      </c>
      <c r="O90">
        <v>21</v>
      </c>
      <c r="P90" t="s">
        <v>12</v>
      </c>
      <c r="Q90" t="s">
        <v>409</v>
      </c>
      <c r="R90" t="s">
        <v>410</v>
      </c>
      <c r="S90" t="s">
        <v>237</v>
      </c>
      <c r="T90" t="s">
        <v>16</v>
      </c>
      <c r="U90">
        <v>4</v>
      </c>
      <c r="V90">
        <v>26</v>
      </c>
      <c r="W90">
        <v>78</v>
      </c>
      <c r="X90">
        <v>5</v>
      </c>
      <c r="Y90">
        <v>296.39999999999998</v>
      </c>
      <c r="Z90">
        <v>192.4</v>
      </c>
      <c r="AA90" t="s">
        <v>17</v>
      </c>
      <c r="AB90" t="s">
        <v>87</v>
      </c>
      <c r="AC90">
        <v>4</v>
      </c>
      <c r="AD90" t="s">
        <v>19</v>
      </c>
      <c r="AE90" t="s">
        <v>20</v>
      </c>
      <c r="AF90" t="str">
        <f t="shared" si="3"/>
        <v>Yes</v>
      </c>
    </row>
    <row r="91" spans="1:32" x14ac:dyDescent="0.3">
      <c r="A91" t="s">
        <v>411</v>
      </c>
      <c r="B91" s="1">
        <v>45750</v>
      </c>
      <c r="C91" t="s">
        <v>233</v>
      </c>
      <c r="D91">
        <f t="shared" si="2"/>
        <v>18</v>
      </c>
      <c r="E91" t="s">
        <v>60</v>
      </c>
      <c r="F91" t="s">
        <v>48</v>
      </c>
      <c r="G91" t="s">
        <v>98</v>
      </c>
      <c r="H91" t="s">
        <v>49</v>
      </c>
      <c r="I91" t="s">
        <v>50</v>
      </c>
      <c r="J91" t="s">
        <v>7</v>
      </c>
      <c r="K91" t="s">
        <v>352</v>
      </c>
      <c r="L91" t="s">
        <v>412</v>
      </c>
      <c r="M91" t="s">
        <v>65</v>
      </c>
      <c r="N91" t="s">
        <v>30</v>
      </c>
      <c r="O91">
        <v>37</v>
      </c>
      <c r="P91" t="s">
        <v>91</v>
      </c>
      <c r="Q91" t="s">
        <v>295</v>
      </c>
      <c r="R91" t="s">
        <v>296</v>
      </c>
      <c r="S91" t="s">
        <v>57</v>
      </c>
      <c r="T91" t="s">
        <v>35</v>
      </c>
      <c r="U91">
        <v>3</v>
      </c>
      <c r="V91">
        <v>62</v>
      </c>
      <c r="W91">
        <v>186</v>
      </c>
      <c r="X91">
        <v>10</v>
      </c>
      <c r="Y91">
        <v>502.2</v>
      </c>
      <c r="Z91">
        <v>316.2</v>
      </c>
      <c r="AA91" t="s">
        <v>179</v>
      </c>
      <c r="AB91" t="s">
        <v>119</v>
      </c>
      <c r="AC91">
        <v>4</v>
      </c>
      <c r="AD91" t="s">
        <v>19</v>
      </c>
      <c r="AE91" t="s">
        <v>20</v>
      </c>
      <c r="AF91" t="str">
        <f t="shared" si="3"/>
        <v>Yes</v>
      </c>
    </row>
    <row r="92" spans="1:32" x14ac:dyDescent="0.3">
      <c r="A92" t="s">
        <v>413</v>
      </c>
      <c r="B92" s="1">
        <v>45793</v>
      </c>
      <c r="C92" t="s">
        <v>414</v>
      </c>
      <c r="D92">
        <f t="shared" si="2"/>
        <v>17</v>
      </c>
      <c r="E92" t="s">
        <v>47</v>
      </c>
      <c r="F92" t="s">
        <v>48</v>
      </c>
      <c r="G92" t="s">
        <v>40</v>
      </c>
      <c r="H92" t="s">
        <v>159</v>
      </c>
      <c r="I92" t="s">
        <v>160</v>
      </c>
      <c r="J92" t="s">
        <v>161</v>
      </c>
      <c r="K92" t="s">
        <v>74</v>
      </c>
      <c r="L92" t="s">
        <v>415</v>
      </c>
      <c r="M92" t="s">
        <v>169</v>
      </c>
      <c r="N92" t="s">
        <v>11</v>
      </c>
      <c r="O92">
        <v>34</v>
      </c>
      <c r="P92" t="s">
        <v>12</v>
      </c>
      <c r="Q92" t="s">
        <v>390</v>
      </c>
      <c r="R92" t="s">
        <v>391</v>
      </c>
      <c r="S92" t="s">
        <v>172</v>
      </c>
      <c r="T92" t="s">
        <v>16</v>
      </c>
      <c r="U92">
        <v>1</v>
      </c>
      <c r="V92">
        <v>69</v>
      </c>
      <c r="W92">
        <v>193.2</v>
      </c>
      <c r="X92">
        <v>5</v>
      </c>
      <c r="Y92">
        <v>183.54</v>
      </c>
      <c r="Z92">
        <v>114.54</v>
      </c>
      <c r="AA92" t="s">
        <v>69</v>
      </c>
      <c r="AB92" t="s">
        <v>129</v>
      </c>
      <c r="AC92">
        <v>5</v>
      </c>
      <c r="AD92" t="s">
        <v>19</v>
      </c>
      <c r="AE92" t="s">
        <v>20</v>
      </c>
      <c r="AF92" t="str">
        <f t="shared" si="3"/>
        <v>Yes</v>
      </c>
    </row>
    <row r="93" spans="1:32" x14ac:dyDescent="0.3">
      <c r="A93" t="s">
        <v>416</v>
      </c>
      <c r="B93" s="1">
        <v>45801</v>
      </c>
      <c r="C93" t="s">
        <v>417</v>
      </c>
      <c r="D93">
        <f t="shared" si="2"/>
        <v>16</v>
      </c>
      <c r="E93" t="s">
        <v>47</v>
      </c>
      <c r="F93" t="s">
        <v>48</v>
      </c>
      <c r="G93" t="s">
        <v>132</v>
      </c>
      <c r="H93" t="s">
        <v>61</v>
      </c>
      <c r="I93" t="s">
        <v>62</v>
      </c>
      <c r="J93" t="s">
        <v>7</v>
      </c>
      <c r="K93" t="s">
        <v>63</v>
      </c>
      <c r="L93" t="s">
        <v>418</v>
      </c>
      <c r="M93" t="s">
        <v>10</v>
      </c>
      <c r="N93" t="s">
        <v>30</v>
      </c>
      <c r="O93">
        <v>20</v>
      </c>
      <c r="P93" t="s">
        <v>91</v>
      </c>
      <c r="Q93" t="s">
        <v>185</v>
      </c>
      <c r="R93" t="s">
        <v>186</v>
      </c>
      <c r="S93" t="s">
        <v>187</v>
      </c>
      <c r="T93" t="s">
        <v>35</v>
      </c>
      <c r="U93">
        <v>3</v>
      </c>
      <c r="V93">
        <v>57</v>
      </c>
      <c r="W93">
        <v>159.6</v>
      </c>
      <c r="X93">
        <v>15</v>
      </c>
      <c r="Y93">
        <v>406.98</v>
      </c>
      <c r="Z93">
        <v>235.98</v>
      </c>
      <c r="AA93" t="s">
        <v>69</v>
      </c>
      <c r="AB93" t="s">
        <v>18</v>
      </c>
      <c r="AC93">
        <v>4</v>
      </c>
      <c r="AD93" t="s">
        <v>19</v>
      </c>
      <c r="AE93" t="s">
        <v>20</v>
      </c>
      <c r="AF93" t="str">
        <f t="shared" si="3"/>
        <v>Yes</v>
      </c>
    </row>
    <row r="94" spans="1:32" x14ac:dyDescent="0.3">
      <c r="A94" t="s">
        <v>419</v>
      </c>
      <c r="B94" s="1">
        <v>45792</v>
      </c>
      <c r="C94" t="s">
        <v>420</v>
      </c>
      <c r="D94">
        <f t="shared" si="2"/>
        <v>21</v>
      </c>
      <c r="E94" t="s">
        <v>47</v>
      </c>
      <c r="F94" t="s">
        <v>48</v>
      </c>
      <c r="G94" t="s">
        <v>98</v>
      </c>
      <c r="H94" t="s">
        <v>24</v>
      </c>
      <c r="I94" t="s">
        <v>25</v>
      </c>
      <c r="J94" t="s">
        <v>26</v>
      </c>
      <c r="K94" t="s">
        <v>41</v>
      </c>
      <c r="L94" t="s">
        <v>421</v>
      </c>
      <c r="M94" t="s">
        <v>169</v>
      </c>
      <c r="N94" t="s">
        <v>11</v>
      </c>
      <c r="O94">
        <v>18</v>
      </c>
      <c r="P94" t="s">
        <v>31</v>
      </c>
      <c r="Q94" t="s">
        <v>170</v>
      </c>
      <c r="R94" t="s">
        <v>171</v>
      </c>
      <c r="S94" t="s">
        <v>172</v>
      </c>
      <c r="T94" t="s">
        <v>35</v>
      </c>
      <c r="U94">
        <v>2</v>
      </c>
      <c r="V94">
        <v>72</v>
      </c>
      <c r="W94">
        <v>216</v>
      </c>
      <c r="X94">
        <v>15</v>
      </c>
      <c r="Y94">
        <v>367.2</v>
      </c>
      <c r="Z94">
        <v>223.2</v>
      </c>
      <c r="AA94" t="s">
        <v>69</v>
      </c>
      <c r="AB94" t="s">
        <v>37</v>
      </c>
      <c r="AC94">
        <v>4</v>
      </c>
      <c r="AD94" t="s">
        <v>19</v>
      </c>
      <c r="AE94" t="s">
        <v>20</v>
      </c>
      <c r="AF94" t="str">
        <f t="shared" si="3"/>
        <v>Yes</v>
      </c>
    </row>
    <row r="95" spans="1:32" x14ac:dyDescent="0.3">
      <c r="A95" t="s">
        <v>422</v>
      </c>
      <c r="B95" s="1">
        <v>45800</v>
      </c>
      <c r="C95" t="s">
        <v>298</v>
      </c>
      <c r="D95">
        <f t="shared" si="2"/>
        <v>11</v>
      </c>
      <c r="E95" t="s">
        <v>47</v>
      </c>
      <c r="F95" t="s">
        <v>48</v>
      </c>
      <c r="G95" t="s">
        <v>40</v>
      </c>
      <c r="H95" t="s">
        <v>24</v>
      </c>
      <c r="I95" t="s">
        <v>25</v>
      </c>
      <c r="J95" t="s">
        <v>26</v>
      </c>
      <c r="K95" t="s">
        <v>245</v>
      </c>
      <c r="L95" t="s">
        <v>423</v>
      </c>
      <c r="M95" t="s">
        <v>65</v>
      </c>
      <c r="N95" t="s">
        <v>11</v>
      </c>
      <c r="O95">
        <v>43</v>
      </c>
      <c r="P95" t="s">
        <v>54</v>
      </c>
      <c r="Q95" t="s">
        <v>211</v>
      </c>
      <c r="R95" t="s">
        <v>212</v>
      </c>
      <c r="S95" t="s">
        <v>128</v>
      </c>
      <c r="T95" t="s">
        <v>16</v>
      </c>
      <c r="U95">
        <v>2</v>
      </c>
      <c r="V95">
        <v>50</v>
      </c>
      <c r="W95">
        <v>140</v>
      </c>
      <c r="X95">
        <v>10</v>
      </c>
      <c r="Y95">
        <v>252</v>
      </c>
      <c r="Z95">
        <v>152</v>
      </c>
      <c r="AA95" t="s">
        <v>43</v>
      </c>
      <c r="AB95" t="s">
        <v>129</v>
      </c>
      <c r="AC95">
        <v>5</v>
      </c>
      <c r="AD95" t="s">
        <v>19</v>
      </c>
      <c r="AE95" t="s">
        <v>20</v>
      </c>
      <c r="AF95" t="str">
        <f t="shared" si="3"/>
        <v>Yes</v>
      </c>
    </row>
    <row r="96" spans="1:32" x14ac:dyDescent="0.3">
      <c r="A96" t="s">
        <v>424</v>
      </c>
      <c r="B96" s="1">
        <v>45729</v>
      </c>
      <c r="C96" t="s">
        <v>425</v>
      </c>
      <c r="D96">
        <f t="shared" si="2"/>
        <v>15</v>
      </c>
      <c r="E96" t="s">
        <v>72</v>
      </c>
      <c r="F96" t="s">
        <v>3</v>
      </c>
      <c r="G96" t="s">
        <v>98</v>
      </c>
      <c r="H96" t="s">
        <v>24</v>
      </c>
      <c r="I96" t="s">
        <v>25</v>
      </c>
      <c r="J96" t="s">
        <v>26</v>
      </c>
      <c r="K96" t="s">
        <v>114</v>
      </c>
      <c r="L96" t="s">
        <v>426</v>
      </c>
      <c r="M96" t="s">
        <v>29</v>
      </c>
      <c r="N96" t="s">
        <v>11</v>
      </c>
      <c r="O96">
        <v>31</v>
      </c>
      <c r="P96" t="s">
        <v>91</v>
      </c>
      <c r="Q96" t="s">
        <v>204</v>
      </c>
      <c r="R96" t="s">
        <v>205</v>
      </c>
      <c r="S96" t="s">
        <v>118</v>
      </c>
      <c r="T96" t="s">
        <v>35</v>
      </c>
      <c r="U96">
        <v>1</v>
      </c>
      <c r="V96">
        <v>59</v>
      </c>
      <c r="W96">
        <v>177</v>
      </c>
      <c r="X96">
        <v>5</v>
      </c>
      <c r="Y96">
        <v>168.15</v>
      </c>
      <c r="Z96">
        <v>109.15</v>
      </c>
      <c r="AA96" t="s">
        <v>36</v>
      </c>
      <c r="AB96" t="s">
        <v>18</v>
      </c>
      <c r="AD96" t="s">
        <v>105</v>
      </c>
      <c r="AE96" t="s">
        <v>20</v>
      </c>
      <c r="AF96" t="str">
        <f t="shared" si="3"/>
        <v>Yes</v>
      </c>
    </row>
    <row r="97" spans="1:32" x14ac:dyDescent="0.3">
      <c r="A97" t="s">
        <v>427</v>
      </c>
      <c r="B97" s="1">
        <v>45805</v>
      </c>
      <c r="C97" t="s">
        <v>89</v>
      </c>
      <c r="D97">
        <f t="shared" si="2"/>
        <v>13</v>
      </c>
      <c r="E97" t="s">
        <v>47</v>
      </c>
      <c r="F97" t="s">
        <v>48</v>
      </c>
      <c r="G97" t="s">
        <v>73</v>
      </c>
      <c r="H97" t="s">
        <v>122</v>
      </c>
      <c r="I97" t="s">
        <v>123</v>
      </c>
      <c r="J97" t="s">
        <v>7</v>
      </c>
      <c r="K97" t="s">
        <v>41</v>
      </c>
      <c r="L97" t="s">
        <v>428</v>
      </c>
      <c r="M97" t="s">
        <v>162</v>
      </c>
      <c r="N97" t="s">
        <v>11</v>
      </c>
      <c r="O97">
        <v>61</v>
      </c>
      <c r="P97" t="s">
        <v>31</v>
      </c>
      <c r="Q97" t="s">
        <v>409</v>
      </c>
      <c r="R97" t="s">
        <v>410</v>
      </c>
      <c r="S97" t="s">
        <v>237</v>
      </c>
      <c r="T97" t="s">
        <v>16</v>
      </c>
      <c r="U97">
        <v>3</v>
      </c>
      <c r="V97">
        <v>26</v>
      </c>
      <c r="W97">
        <v>78</v>
      </c>
      <c r="X97">
        <v>5</v>
      </c>
      <c r="Y97">
        <v>222.3</v>
      </c>
      <c r="Z97">
        <v>144.30000000000001</v>
      </c>
      <c r="AA97" t="s">
        <v>179</v>
      </c>
      <c r="AB97" t="s">
        <v>18</v>
      </c>
      <c r="AC97">
        <v>5</v>
      </c>
      <c r="AD97" t="s">
        <v>19</v>
      </c>
      <c r="AE97" t="s">
        <v>95</v>
      </c>
      <c r="AF97" t="str">
        <f t="shared" si="3"/>
        <v>No</v>
      </c>
    </row>
    <row r="98" spans="1:32" x14ac:dyDescent="0.3">
      <c r="A98" t="s">
        <v>429</v>
      </c>
      <c r="B98" s="1">
        <v>45738</v>
      </c>
      <c r="C98" t="s">
        <v>283</v>
      </c>
      <c r="D98">
        <f t="shared" si="2"/>
        <v>14</v>
      </c>
      <c r="E98" t="s">
        <v>72</v>
      </c>
      <c r="F98" t="s">
        <v>3</v>
      </c>
      <c r="G98" t="s">
        <v>132</v>
      </c>
      <c r="H98" t="s">
        <v>164</v>
      </c>
      <c r="I98" t="s">
        <v>165</v>
      </c>
      <c r="J98" t="s">
        <v>166</v>
      </c>
      <c r="K98" t="s">
        <v>107</v>
      </c>
      <c r="L98" t="s">
        <v>430</v>
      </c>
      <c r="M98" t="s">
        <v>140</v>
      </c>
      <c r="N98" t="s">
        <v>30</v>
      </c>
      <c r="O98">
        <v>19</v>
      </c>
      <c r="P98" t="s">
        <v>54</v>
      </c>
      <c r="Q98" t="s">
        <v>431</v>
      </c>
      <c r="R98" t="s">
        <v>432</v>
      </c>
      <c r="S98" t="s">
        <v>172</v>
      </c>
      <c r="T98" t="s">
        <v>35</v>
      </c>
      <c r="U98">
        <v>1</v>
      </c>
      <c r="V98">
        <v>77</v>
      </c>
      <c r="W98">
        <v>192.5</v>
      </c>
      <c r="X98">
        <v>15</v>
      </c>
      <c r="Y98">
        <v>163.62</v>
      </c>
      <c r="Z98">
        <v>86.62</v>
      </c>
      <c r="AA98" t="s">
        <v>36</v>
      </c>
      <c r="AB98" t="s">
        <v>119</v>
      </c>
      <c r="AC98">
        <v>3</v>
      </c>
      <c r="AD98" t="s">
        <v>105</v>
      </c>
      <c r="AE98" t="s">
        <v>20</v>
      </c>
      <c r="AF98" t="str">
        <f t="shared" si="3"/>
        <v>Yes</v>
      </c>
    </row>
    <row r="99" spans="1:32" x14ac:dyDescent="0.3">
      <c r="A99" t="s">
        <v>433</v>
      </c>
      <c r="B99" s="1">
        <v>45825</v>
      </c>
      <c r="C99" t="s">
        <v>158</v>
      </c>
      <c r="D99">
        <f t="shared" si="2"/>
        <v>8</v>
      </c>
      <c r="E99" t="s">
        <v>131</v>
      </c>
      <c r="F99" t="s">
        <v>48</v>
      </c>
      <c r="G99" t="s">
        <v>181</v>
      </c>
      <c r="H99" t="s">
        <v>81</v>
      </c>
      <c r="I99" t="s">
        <v>82</v>
      </c>
      <c r="J99" t="s">
        <v>7</v>
      </c>
      <c r="K99" t="s">
        <v>8</v>
      </c>
      <c r="L99" t="s">
        <v>220</v>
      </c>
      <c r="M99" t="s">
        <v>140</v>
      </c>
      <c r="N99" t="s">
        <v>11</v>
      </c>
      <c r="O99">
        <v>62</v>
      </c>
      <c r="P99" t="s">
        <v>91</v>
      </c>
      <c r="Q99" t="s">
        <v>134</v>
      </c>
      <c r="R99" t="s">
        <v>135</v>
      </c>
      <c r="S99" t="s">
        <v>136</v>
      </c>
      <c r="T99" t="s">
        <v>35</v>
      </c>
      <c r="U99">
        <v>4</v>
      </c>
      <c r="V99">
        <v>20</v>
      </c>
      <c r="W99">
        <v>60</v>
      </c>
      <c r="X99">
        <v>10</v>
      </c>
      <c r="Y99">
        <v>216</v>
      </c>
      <c r="Z99">
        <v>136</v>
      </c>
      <c r="AA99" t="s">
        <v>69</v>
      </c>
      <c r="AB99" t="s">
        <v>119</v>
      </c>
      <c r="AD99" t="s">
        <v>105</v>
      </c>
      <c r="AE99" t="s">
        <v>20</v>
      </c>
      <c r="AF99" t="str">
        <f t="shared" si="3"/>
        <v>Yes</v>
      </c>
    </row>
    <row r="100" spans="1:32" x14ac:dyDescent="0.3">
      <c r="A100" t="s">
        <v>434</v>
      </c>
      <c r="B100" s="1">
        <v>45687</v>
      </c>
      <c r="C100" t="s">
        <v>435</v>
      </c>
      <c r="D100">
        <f t="shared" si="2"/>
        <v>13</v>
      </c>
      <c r="E100" t="s">
        <v>2</v>
      </c>
      <c r="F100" t="s">
        <v>3</v>
      </c>
      <c r="G100" t="s">
        <v>98</v>
      </c>
      <c r="H100" t="s">
        <v>122</v>
      </c>
      <c r="I100" t="s">
        <v>123</v>
      </c>
      <c r="J100" t="s">
        <v>7</v>
      </c>
      <c r="K100" t="s">
        <v>352</v>
      </c>
      <c r="L100" t="s">
        <v>386</v>
      </c>
      <c r="M100" t="s">
        <v>10</v>
      </c>
      <c r="N100" t="s">
        <v>30</v>
      </c>
      <c r="O100">
        <v>44</v>
      </c>
      <c r="P100" t="s">
        <v>31</v>
      </c>
      <c r="Q100" t="s">
        <v>436</v>
      </c>
      <c r="R100" t="s">
        <v>437</v>
      </c>
      <c r="S100" t="s">
        <v>178</v>
      </c>
      <c r="T100" t="s">
        <v>35</v>
      </c>
      <c r="U100">
        <v>2</v>
      </c>
      <c r="V100">
        <v>66</v>
      </c>
      <c r="W100">
        <v>165</v>
      </c>
      <c r="X100">
        <v>15</v>
      </c>
      <c r="Y100">
        <v>280.5</v>
      </c>
      <c r="Z100">
        <v>148.5</v>
      </c>
      <c r="AA100" t="s">
        <v>179</v>
      </c>
      <c r="AB100" t="s">
        <v>119</v>
      </c>
      <c r="AC100">
        <v>4</v>
      </c>
      <c r="AD100" t="s">
        <v>19</v>
      </c>
      <c r="AE100" t="s">
        <v>20</v>
      </c>
      <c r="AF100" t="str">
        <f t="shared" si="3"/>
        <v>Yes</v>
      </c>
    </row>
    <row r="101" spans="1:32" x14ac:dyDescent="0.3">
      <c r="A101" t="s">
        <v>438</v>
      </c>
      <c r="B101" s="1">
        <v>45715</v>
      </c>
      <c r="C101" t="s">
        <v>322</v>
      </c>
      <c r="D101">
        <f t="shared" si="2"/>
        <v>10</v>
      </c>
      <c r="E101" t="s">
        <v>145</v>
      </c>
      <c r="F101" t="s">
        <v>3</v>
      </c>
      <c r="G101" t="s">
        <v>98</v>
      </c>
      <c r="H101" t="s">
        <v>61</v>
      </c>
      <c r="I101" t="s">
        <v>62</v>
      </c>
      <c r="J101" t="s">
        <v>7</v>
      </c>
      <c r="K101" t="s">
        <v>146</v>
      </c>
      <c r="L101" t="s">
        <v>439</v>
      </c>
      <c r="M101" t="s">
        <v>10</v>
      </c>
      <c r="N101" t="s">
        <v>11</v>
      </c>
      <c r="O101">
        <v>63</v>
      </c>
      <c r="P101" t="s">
        <v>54</v>
      </c>
      <c r="Q101" t="s">
        <v>308</v>
      </c>
      <c r="R101" t="s">
        <v>309</v>
      </c>
      <c r="S101" t="s">
        <v>187</v>
      </c>
      <c r="T101" t="s">
        <v>35</v>
      </c>
      <c r="U101">
        <v>4</v>
      </c>
      <c r="V101">
        <v>31</v>
      </c>
      <c r="W101">
        <v>77.5</v>
      </c>
      <c r="X101">
        <v>0</v>
      </c>
      <c r="Y101">
        <v>310</v>
      </c>
      <c r="Z101">
        <v>186</v>
      </c>
      <c r="AA101" t="s">
        <v>36</v>
      </c>
      <c r="AB101" t="s">
        <v>37</v>
      </c>
      <c r="AC101">
        <v>4</v>
      </c>
      <c r="AD101" t="s">
        <v>105</v>
      </c>
      <c r="AE101" t="s">
        <v>20</v>
      </c>
      <c r="AF101" t="str">
        <f t="shared" si="3"/>
        <v>Yes</v>
      </c>
    </row>
    <row r="102" spans="1:32" x14ac:dyDescent="0.3">
      <c r="A102" t="s">
        <v>440</v>
      </c>
      <c r="B102" s="1">
        <v>45777</v>
      </c>
      <c r="C102" t="s">
        <v>97</v>
      </c>
      <c r="D102">
        <f t="shared" si="2"/>
        <v>7</v>
      </c>
      <c r="E102" t="s">
        <v>60</v>
      </c>
      <c r="F102" t="s">
        <v>48</v>
      </c>
      <c r="G102" t="s">
        <v>73</v>
      </c>
      <c r="H102" t="s">
        <v>61</v>
      </c>
      <c r="I102" t="s">
        <v>62</v>
      </c>
      <c r="J102" t="s">
        <v>7</v>
      </c>
      <c r="K102" t="s">
        <v>270</v>
      </c>
      <c r="L102" t="s">
        <v>441</v>
      </c>
      <c r="M102" t="s">
        <v>184</v>
      </c>
      <c r="N102" t="s">
        <v>11</v>
      </c>
      <c r="O102">
        <v>33</v>
      </c>
      <c r="P102" t="s">
        <v>12</v>
      </c>
      <c r="Q102" t="s">
        <v>256</v>
      </c>
      <c r="R102" t="s">
        <v>257</v>
      </c>
      <c r="S102" t="s">
        <v>118</v>
      </c>
      <c r="T102" t="s">
        <v>35</v>
      </c>
      <c r="U102">
        <v>4</v>
      </c>
      <c r="V102">
        <v>30</v>
      </c>
      <c r="W102">
        <v>90</v>
      </c>
      <c r="X102">
        <v>10</v>
      </c>
      <c r="Y102">
        <v>324</v>
      </c>
      <c r="Z102">
        <v>204</v>
      </c>
      <c r="AA102" t="s">
        <v>43</v>
      </c>
      <c r="AB102" t="s">
        <v>37</v>
      </c>
      <c r="AC102">
        <v>4</v>
      </c>
      <c r="AD102" t="s">
        <v>19</v>
      </c>
      <c r="AE102" t="s">
        <v>20</v>
      </c>
      <c r="AF102" t="str">
        <f t="shared" si="3"/>
        <v>Yes</v>
      </c>
    </row>
    <row r="103" spans="1:32" x14ac:dyDescent="0.3">
      <c r="A103" t="s">
        <v>442</v>
      </c>
      <c r="B103" s="1">
        <v>45782</v>
      </c>
      <c r="C103" t="s">
        <v>407</v>
      </c>
      <c r="D103">
        <f t="shared" si="2"/>
        <v>8</v>
      </c>
      <c r="E103" t="s">
        <v>47</v>
      </c>
      <c r="F103" t="s">
        <v>48</v>
      </c>
      <c r="G103" t="s">
        <v>23</v>
      </c>
      <c r="H103" t="s">
        <v>122</v>
      </c>
      <c r="I103" t="s">
        <v>123</v>
      </c>
      <c r="J103" t="s">
        <v>7</v>
      </c>
      <c r="K103" t="s">
        <v>323</v>
      </c>
      <c r="L103" t="s">
        <v>443</v>
      </c>
      <c r="M103" t="s">
        <v>29</v>
      </c>
      <c r="N103" t="s">
        <v>30</v>
      </c>
      <c r="O103">
        <v>28</v>
      </c>
      <c r="P103" t="s">
        <v>12</v>
      </c>
      <c r="Q103" t="s">
        <v>216</v>
      </c>
      <c r="R103" t="s">
        <v>217</v>
      </c>
      <c r="S103" t="s">
        <v>218</v>
      </c>
      <c r="T103" t="s">
        <v>35</v>
      </c>
      <c r="U103">
        <v>1</v>
      </c>
      <c r="V103">
        <v>67</v>
      </c>
      <c r="W103">
        <v>187.6</v>
      </c>
      <c r="X103">
        <v>10</v>
      </c>
      <c r="Y103">
        <v>168.84</v>
      </c>
      <c r="Z103">
        <v>101.84</v>
      </c>
      <c r="AA103" t="s">
        <v>69</v>
      </c>
      <c r="AB103" t="s">
        <v>37</v>
      </c>
      <c r="AC103">
        <v>5</v>
      </c>
      <c r="AD103" t="s">
        <v>19</v>
      </c>
      <c r="AE103" t="s">
        <v>20</v>
      </c>
      <c r="AF103" t="str">
        <f t="shared" si="3"/>
        <v>Yes</v>
      </c>
    </row>
    <row r="104" spans="1:32" x14ac:dyDescent="0.3">
      <c r="A104" t="s">
        <v>444</v>
      </c>
      <c r="B104" s="1">
        <v>45765</v>
      </c>
      <c r="C104" t="s">
        <v>259</v>
      </c>
      <c r="D104">
        <f t="shared" si="2"/>
        <v>18</v>
      </c>
      <c r="E104" t="s">
        <v>60</v>
      </c>
      <c r="F104" t="s">
        <v>48</v>
      </c>
      <c r="G104" t="s">
        <v>40</v>
      </c>
      <c r="H104" t="s">
        <v>24</v>
      </c>
      <c r="I104" t="s">
        <v>25</v>
      </c>
      <c r="J104" t="s">
        <v>26</v>
      </c>
      <c r="K104" t="s">
        <v>124</v>
      </c>
      <c r="L104" t="s">
        <v>363</v>
      </c>
      <c r="M104" t="s">
        <v>29</v>
      </c>
      <c r="N104" t="s">
        <v>11</v>
      </c>
      <c r="O104">
        <v>39</v>
      </c>
      <c r="P104" t="s">
        <v>76</v>
      </c>
      <c r="Q104" t="s">
        <v>66</v>
      </c>
      <c r="R104" t="s">
        <v>67</v>
      </c>
      <c r="S104" t="s">
        <v>68</v>
      </c>
      <c r="T104" t="s">
        <v>16</v>
      </c>
      <c r="U104">
        <v>4</v>
      </c>
      <c r="V104">
        <v>43</v>
      </c>
      <c r="W104">
        <v>120.4</v>
      </c>
      <c r="X104">
        <v>15</v>
      </c>
      <c r="Y104">
        <v>409.36</v>
      </c>
      <c r="Z104">
        <v>237.36</v>
      </c>
      <c r="AA104" t="s">
        <v>17</v>
      </c>
      <c r="AB104" t="s">
        <v>129</v>
      </c>
      <c r="AD104" t="s">
        <v>105</v>
      </c>
      <c r="AE104" t="s">
        <v>20</v>
      </c>
      <c r="AF104" t="str">
        <f t="shared" si="3"/>
        <v>Yes</v>
      </c>
    </row>
    <row r="105" spans="1:32" x14ac:dyDescent="0.3">
      <c r="A105" t="s">
        <v>445</v>
      </c>
      <c r="B105" s="1">
        <v>45760</v>
      </c>
      <c r="C105" t="s">
        <v>384</v>
      </c>
      <c r="D105">
        <f t="shared" si="2"/>
        <v>15</v>
      </c>
      <c r="E105" t="s">
        <v>60</v>
      </c>
      <c r="F105" t="s">
        <v>48</v>
      </c>
      <c r="G105" t="s">
        <v>4</v>
      </c>
      <c r="H105" t="s">
        <v>81</v>
      </c>
      <c r="I105" t="s">
        <v>82</v>
      </c>
      <c r="J105" t="s">
        <v>7</v>
      </c>
      <c r="K105" t="s">
        <v>167</v>
      </c>
      <c r="L105" t="s">
        <v>446</v>
      </c>
      <c r="M105" t="s">
        <v>169</v>
      </c>
      <c r="N105" t="s">
        <v>11</v>
      </c>
      <c r="O105">
        <v>36</v>
      </c>
      <c r="P105" t="s">
        <v>12</v>
      </c>
      <c r="Q105" t="s">
        <v>126</v>
      </c>
      <c r="R105" t="s">
        <v>127</v>
      </c>
      <c r="S105" t="s">
        <v>128</v>
      </c>
      <c r="T105" t="s">
        <v>35</v>
      </c>
      <c r="U105">
        <v>3</v>
      </c>
      <c r="V105">
        <v>69</v>
      </c>
      <c r="W105">
        <v>193.2</v>
      </c>
      <c r="X105">
        <v>0</v>
      </c>
      <c r="Y105">
        <v>579.6</v>
      </c>
      <c r="Z105">
        <v>372.6</v>
      </c>
      <c r="AA105" t="s">
        <v>17</v>
      </c>
      <c r="AB105" t="s">
        <v>119</v>
      </c>
      <c r="AD105" t="s">
        <v>105</v>
      </c>
      <c r="AE105" t="s">
        <v>20</v>
      </c>
      <c r="AF105" t="str">
        <f t="shared" si="3"/>
        <v>Yes</v>
      </c>
    </row>
    <row r="106" spans="1:32" x14ac:dyDescent="0.3">
      <c r="A106" t="s">
        <v>447</v>
      </c>
      <c r="B106" s="1">
        <v>45672</v>
      </c>
      <c r="C106" t="s">
        <v>121</v>
      </c>
      <c r="D106">
        <f t="shared" si="2"/>
        <v>9</v>
      </c>
      <c r="E106" t="s">
        <v>2</v>
      </c>
      <c r="F106" t="s">
        <v>3</v>
      </c>
      <c r="G106" t="s">
        <v>73</v>
      </c>
      <c r="H106" t="s">
        <v>61</v>
      </c>
      <c r="I106" t="s">
        <v>62</v>
      </c>
      <c r="J106" t="s">
        <v>7</v>
      </c>
      <c r="K106" t="s">
        <v>311</v>
      </c>
      <c r="L106" t="s">
        <v>448</v>
      </c>
      <c r="M106" t="s">
        <v>261</v>
      </c>
      <c r="N106" t="s">
        <v>11</v>
      </c>
      <c r="O106">
        <v>44</v>
      </c>
      <c r="P106" t="s">
        <v>54</v>
      </c>
      <c r="Q106" t="s">
        <v>116</v>
      </c>
      <c r="R106" t="s">
        <v>117</v>
      </c>
      <c r="S106" t="s">
        <v>118</v>
      </c>
      <c r="T106" t="s">
        <v>35</v>
      </c>
      <c r="U106">
        <v>4</v>
      </c>
      <c r="V106">
        <v>99</v>
      </c>
      <c r="W106">
        <v>277.2</v>
      </c>
      <c r="X106">
        <v>5</v>
      </c>
      <c r="Y106">
        <v>1053.3599999999999</v>
      </c>
      <c r="Z106">
        <v>657.36</v>
      </c>
      <c r="AA106" t="s">
        <v>179</v>
      </c>
      <c r="AB106" t="s">
        <v>44</v>
      </c>
      <c r="AC106">
        <v>5</v>
      </c>
      <c r="AD106" t="s">
        <v>105</v>
      </c>
      <c r="AE106" t="s">
        <v>20</v>
      </c>
      <c r="AF106" t="str">
        <f t="shared" si="3"/>
        <v>Yes</v>
      </c>
    </row>
    <row r="107" spans="1:32" x14ac:dyDescent="0.3">
      <c r="A107" t="s">
        <v>449</v>
      </c>
      <c r="B107" s="1">
        <v>45688</v>
      </c>
      <c r="C107" t="s">
        <v>373</v>
      </c>
      <c r="D107">
        <f t="shared" si="2"/>
        <v>9</v>
      </c>
      <c r="E107" t="s">
        <v>2</v>
      </c>
      <c r="F107" t="s">
        <v>3</v>
      </c>
      <c r="G107" t="s">
        <v>40</v>
      </c>
      <c r="H107" t="s">
        <v>5</v>
      </c>
      <c r="I107" t="s">
        <v>6</v>
      </c>
      <c r="J107" t="s">
        <v>7</v>
      </c>
      <c r="K107" t="s">
        <v>318</v>
      </c>
      <c r="L107" t="s">
        <v>450</v>
      </c>
      <c r="M107" t="s">
        <v>184</v>
      </c>
      <c r="N107" t="s">
        <v>30</v>
      </c>
      <c r="O107">
        <v>22</v>
      </c>
      <c r="P107" t="s">
        <v>91</v>
      </c>
      <c r="Q107" t="s">
        <v>13</v>
      </c>
      <c r="R107" t="s">
        <v>14</v>
      </c>
      <c r="S107" t="s">
        <v>15</v>
      </c>
      <c r="T107" t="s">
        <v>16</v>
      </c>
      <c r="U107">
        <v>3</v>
      </c>
      <c r="V107">
        <v>43</v>
      </c>
      <c r="W107">
        <v>129</v>
      </c>
      <c r="X107">
        <v>5</v>
      </c>
      <c r="Y107">
        <v>367.65</v>
      </c>
      <c r="Z107">
        <v>238.65</v>
      </c>
      <c r="AA107" t="s">
        <v>17</v>
      </c>
      <c r="AB107" t="s">
        <v>37</v>
      </c>
      <c r="AC107">
        <v>4</v>
      </c>
      <c r="AD107" t="s">
        <v>105</v>
      </c>
      <c r="AE107" t="s">
        <v>20</v>
      </c>
      <c r="AF107" t="str">
        <f t="shared" si="3"/>
        <v>Yes</v>
      </c>
    </row>
    <row r="108" spans="1:32" x14ac:dyDescent="0.3">
      <c r="A108" t="s">
        <v>451</v>
      </c>
      <c r="B108" s="1">
        <v>45666</v>
      </c>
      <c r="C108" t="s">
        <v>1</v>
      </c>
      <c r="D108">
        <f t="shared" si="2"/>
        <v>19</v>
      </c>
      <c r="E108" t="s">
        <v>2</v>
      </c>
      <c r="F108" t="s">
        <v>3</v>
      </c>
      <c r="G108" t="s">
        <v>98</v>
      </c>
      <c r="H108" t="s">
        <v>164</v>
      </c>
      <c r="I108" t="s">
        <v>165</v>
      </c>
      <c r="J108" t="s">
        <v>166</v>
      </c>
      <c r="K108" t="s">
        <v>153</v>
      </c>
      <c r="L108" t="s">
        <v>452</v>
      </c>
      <c r="M108" t="s">
        <v>53</v>
      </c>
      <c r="N108" t="s">
        <v>11</v>
      </c>
      <c r="O108">
        <v>16</v>
      </c>
      <c r="P108" t="s">
        <v>54</v>
      </c>
      <c r="Q108" t="s">
        <v>267</v>
      </c>
      <c r="R108" t="s">
        <v>268</v>
      </c>
      <c r="S108" t="s">
        <v>15</v>
      </c>
      <c r="T108" t="s">
        <v>35</v>
      </c>
      <c r="U108">
        <v>3</v>
      </c>
      <c r="V108">
        <v>87</v>
      </c>
      <c r="W108">
        <v>261</v>
      </c>
      <c r="X108">
        <v>5</v>
      </c>
      <c r="Y108">
        <v>743.85</v>
      </c>
      <c r="Z108">
        <v>482.85</v>
      </c>
      <c r="AA108" t="s">
        <v>179</v>
      </c>
      <c r="AB108" t="s">
        <v>119</v>
      </c>
      <c r="AD108" t="s">
        <v>105</v>
      </c>
      <c r="AE108" t="s">
        <v>20</v>
      </c>
      <c r="AF108" t="str">
        <f t="shared" si="3"/>
        <v>Yes</v>
      </c>
    </row>
    <row r="109" spans="1:32" x14ac:dyDescent="0.3">
      <c r="A109" t="s">
        <v>453</v>
      </c>
      <c r="B109" s="1">
        <v>45707</v>
      </c>
      <c r="C109" t="s">
        <v>80</v>
      </c>
      <c r="D109">
        <f t="shared" si="2"/>
        <v>10</v>
      </c>
      <c r="E109" t="s">
        <v>145</v>
      </c>
      <c r="F109" t="s">
        <v>3</v>
      </c>
      <c r="G109" t="s">
        <v>73</v>
      </c>
      <c r="H109" t="s">
        <v>5</v>
      </c>
      <c r="I109" t="s">
        <v>6</v>
      </c>
      <c r="J109" t="s">
        <v>7</v>
      </c>
      <c r="K109" t="s">
        <v>229</v>
      </c>
      <c r="L109" t="s">
        <v>454</v>
      </c>
      <c r="M109" t="s">
        <v>261</v>
      </c>
      <c r="N109" t="s">
        <v>30</v>
      </c>
      <c r="O109">
        <v>51</v>
      </c>
      <c r="P109" t="s">
        <v>12</v>
      </c>
      <c r="Q109" t="s">
        <v>109</v>
      </c>
      <c r="R109" t="s">
        <v>110</v>
      </c>
      <c r="S109" t="s">
        <v>111</v>
      </c>
      <c r="T109" t="s">
        <v>16</v>
      </c>
      <c r="U109">
        <v>3</v>
      </c>
      <c r="V109">
        <v>83</v>
      </c>
      <c r="W109">
        <v>182.6</v>
      </c>
      <c r="X109">
        <v>5</v>
      </c>
      <c r="Y109">
        <v>520.41</v>
      </c>
      <c r="Z109">
        <v>271.41000000000003</v>
      </c>
      <c r="AA109" t="s">
        <v>36</v>
      </c>
      <c r="AB109" t="s">
        <v>44</v>
      </c>
      <c r="AC109">
        <v>4</v>
      </c>
      <c r="AD109" t="s">
        <v>105</v>
      </c>
      <c r="AE109" t="s">
        <v>20</v>
      </c>
      <c r="AF109" t="str">
        <f t="shared" si="3"/>
        <v>Yes</v>
      </c>
    </row>
    <row r="110" spans="1:32" x14ac:dyDescent="0.3">
      <c r="A110" t="s">
        <v>455</v>
      </c>
      <c r="B110" s="1">
        <v>45829</v>
      </c>
      <c r="C110" t="s">
        <v>158</v>
      </c>
      <c r="D110">
        <f t="shared" si="2"/>
        <v>8</v>
      </c>
      <c r="E110" t="s">
        <v>131</v>
      </c>
      <c r="F110" t="s">
        <v>48</v>
      </c>
      <c r="G110" t="s">
        <v>132</v>
      </c>
      <c r="H110" t="s">
        <v>164</v>
      </c>
      <c r="I110" t="s">
        <v>165</v>
      </c>
      <c r="J110" t="s">
        <v>166</v>
      </c>
      <c r="K110" t="s">
        <v>245</v>
      </c>
      <c r="L110" t="s">
        <v>456</v>
      </c>
      <c r="M110" t="s">
        <v>184</v>
      </c>
      <c r="N110" t="s">
        <v>11</v>
      </c>
      <c r="O110">
        <v>24</v>
      </c>
      <c r="P110" t="s">
        <v>54</v>
      </c>
      <c r="Q110" t="s">
        <v>295</v>
      </c>
      <c r="R110" t="s">
        <v>296</v>
      </c>
      <c r="S110" t="s">
        <v>57</v>
      </c>
      <c r="T110" t="s">
        <v>35</v>
      </c>
      <c r="U110">
        <v>1</v>
      </c>
      <c r="V110">
        <v>62</v>
      </c>
      <c r="W110">
        <v>186</v>
      </c>
      <c r="X110">
        <v>5</v>
      </c>
      <c r="Y110">
        <v>176.7</v>
      </c>
      <c r="Z110">
        <v>114.7</v>
      </c>
      <c r="AA110" t="s">
        <v>17</v>
      </c>
      <c r="AB110" t="s">
        <v>129</v>
      </c>
      <c r="AC110">
        <v>4</v>
      </c>
      <c r="AD110" t="s">
        <v>105</v>
      </c>
      <c r="AE110" t="s">
        <v>95</v>
      </c>
      <c r="AF110" t="str">
        <f t="shared" si="3"/>
        <v>No</v>
      </c>
    </row>
    <row r="111" spans="1:32" x14ac:dyDescent="0.3">
      <c r="A111" t="s">
        <v>457</v>
      </c>
      <c r="B111" s="1">
        <v>45666</v>
      </c>
      <c r="C111" t="s">
        <v>71</v>
      </c>
      <c r="D111">
        <f t="shared" si="2"/>
        <v>10</v>
      </c>
      <c r="E111" t="s">
        <v>2</v>
      </c>
      <c r="F111" t="s">
        <v>3</v>
      </c>
      <c r="G111" t="s">
        <v>98</v>
      </c>
      <c r="H111" t="s">
        <v>99</v>
      </c>
      <c r="I111" t="s">
        <v>100</v>
      </c>
      <c r="J111" t="s">
        <v>101</v>
      </c>
      <c r="K111" t="s">
        <v>51</v>
      </c>
      <c r="L111" t="s">
        <v>458</v>
      </c>
      <c r="M111" t="s">
        <v>169</v>
      </c>
      <c r="N111" t="s">
        <v>30</v>
      </c>
      <c r="O111">
        <v>42</v>
      </c>
      <c r="P111" t="s">
        <v>76</v>
      </c>
      <c r="Q111" t="s">
        <v>185</v>
      </c>
      <c r="R111" t="s">
        <v>186</v>
      </c>
      <c r="S111" t="s">
        <v>187</v>
      </c>
      <c r="T111" t="s">
        <v>35</v>
      </c>
      <c r="U111">
        <v>2</v>
      </c>
      <c r="V111">
        <v>57</v>
      </c>
      <c r="W111">
        <v>159.6</v>
      </c>
      <c r="X111">
        <v>10</v>
      </c>
      <c r="Y111">
        <v>287.27999999999997</v>
      </c>
      <c r="Z111">
        <v>173.28</v>
      </c>
      <c r="AA111" t="s">
        <v>17</v>
      </c>
      <c r="AB111" t="s">
        <v>18</v>
      </c>
      <c r="AC111">
        <v>4</v>
      </c>
      <c r="AD111" t="s">
        <v>19</v>
      </c>
      <c r="AE111" t="s">
        <v>20</v>
      </c>
      <c r="AF111" t="str">
        <f t="shared" si="3"/>
        <v>Yes</v>
      </c>
    </row>
    <row r="112" spans="1:32" x14ac:dyDescent="0.3">
      <c r="A112" t="s">
        <v>459</v>
      </c>
      <c r="B112" s="1">
        <v>45735</v>
      </c>
      <c r="C112" t="s">
        <v>298</v>
      </c>
      <c r="D112">
        <f t="shared" si="2"/>
        <v>11</v>
      </c>
      <c r="E112" t="s">
        <v>72</v>
      </c>
      <c r="F112" t="s">
        <v>3</v>
      </c>
      <c r="G112" t="s">
        <v>73</v>
      </c>
      <c r="H112" t="s">
        <v>164</v>
      </c>
      <c r="I112" t="s">
        <v>165</v>
      </c>
      <c r="J112" t="s">
        <v>166</v>
      </c>
      <c r="K112" t="s">
        <v>41</v>
      </c>
      <c r="L112" t="s">
        <v>215</v>
      </c>
      <c r="M112" t="s">
        <v>184</v>
      </c>
      <c r="N112" t="s">
        <v>11</v>
      </c>
      <c r="O112">
        <v>40</v>
      </c>
      <c r="P112" t="s">
        <v>54</v>
      </c>
      <c r="Q112" t="s">
        <v>272</v>
      </c>
      <c r="R112" t="s">
        <v>273</v>
      </c>
      <c r="S112" t="s">
        <v>57</v>
      </c>
      <c r="T112" t="s">
        <v>16</v>
      </c>
      <c r="U112">
        <v>4</v>
      </c>
      <c r="V112">
        <v>55</v>
      </c>
      <c r="W112">
        <v>154</v>
      </c>
      <c r="X112">
        <v>0</v>
      </c>
      <c r="Y112">
        <v>616</v>
      </c>
      <c r="Z112">
        <v>396</v>
      </c>
      <c r="AA112" t="s">
        <v>36</v>
      </c>
      <c r="AB112" t="s">
        <v>87</v>
      </c>
      <c r="AC112">
        <v>4</v>
      </c>
      <c r="AD112" t="s">
        <v>19</v>
      </c>
      <c r="AE112" t="s">
        <v>20</v>
      </c>
      <c r="AF112" t="str">
        <f t="shared" si="3"/>
        <v>Yes</v>
      </c>
    </row>
    <row r="113" spans="1:32" x14ac:dyDescent="0.3">
      <c r="A113" t="s">
        <v>460</v>
      </c>
      <c r="B113" s="1">
        <v>45731</v>
      </c>
      <c r="C113" t="s">
        <v>39</v>
      </c>
      <c r="D113">
        <f t="shared" si="2"/>
        <v>18</v>
      </c>
      <c r="E113" t="s">
        <v>72</v>
      </c>
      <c r="F113" t="s">
        <v>3</v>
      </c>
      <c r="G113" t="s">
        <v>132</v>
      </c>
      <c r="H113" t="s">
        <v>49</v>
      </c>
      <c r="I113" t="s">
        <v>50</v>
      </c>
      <c r="J113" t="s">
        <v>7</v>
      </c>
      <c r="K113" t="s">
        <v>318</v>
      </c>
      <c r="L113" t="s">
        <v>461</v>
      </c>
      <c r="M113" t="s">
        <v>10</v>
      </c>
      <c r="N113" t="s">
        <v>11</v>
      </c>
      <c r="O113">
        <v>61</v>
      </c>
      <c r="P113" t="s">
        <v>76</v>
      </c>
      <c r="Q113" t="s">
        <v>211</v>
      </c>
      <c r="R113" t="s">
        <v>212</v>
      </c>
      <c r="S113" t="s">
        <v>128</v>
      </c>
      <c r="T113" t="s">
        <v>16</v>
      </c>
      <c r="U113">
        <v>3</v>
      </c>
      <c r="V113">
        <v>50</v>
      </c>
      <c r="W113">
        <v>140</v>
      </c>
      <c r="X113">
        <v>10</v>
      </c>
      <c r="Y113">
        <v>378</v>
      </c>
      <c r="Z113">
        <v>228</v>
      </c>
      <c r="AA113" t="s">
        <v>17</v>
      </c>
      <c r="AB113" t="s">
        <v>87</v>
      </c>
      <c r="AD113" t="s">
        <v>19</v>
      </c>
      <c r="AE113" t="s">
        <v>20</v>
      </c>
      <c r="AF113" t="str">
        <f t="shared" si="3"/>
        <v>Yes</v>
      </c>
    </row>
    <row r="114" spans="1:32" x14ac:dyDescent="0.3">
      <c r="A114" t="s">
        <v>462</v>
      </c>
      <c r="B114" s="1">
        <v>45706</v>
      </c>
      <c r="C114" t="s">
        <v>463</v>
      </c>
      <c r="D114">
        <f t="shared" si="2"/>
        <v>12</v>
      </c>
      <c r="E114" t="s">
        <v>145</v>
      </c>
      <c r="F114" t="s">
        <v>3</v>
      </c>
      <c r="G114" t="s">
        <v>181</v>
      </c>
      <c r="H114" t="s">
        <v>5</v>
      </c>
      <c r="I114" t="s">
        <v>6</v>
      </c>
      <c r="J114" t="s">
        <v>7</v>
      </c>
      <c r="K114" t="s">
        <v>27</v>
      </c>
      <c r="L114" t="s">
        <v>341</v>
      </c>
      <c r="M114" t="s">
        <v>225</v>
      </c>
      <c r="N114" t="s">
        <v>11</v>
      </c>
      <c r="O114">
        <v>44</v>
      </c>
      <c r="P114" t="s">
        <v>91</v>
      </c>
      <c r="Q114" t="s">
        <v>211</v>
      </c>
      <c r="R114" t="s">
        <v>212</v>
      </c>
      <c r="S114" t="s">
        <v>128</v>
      </c>
      <c r="T114" t="s">
        <v>16</v>
      </c>
      <c r="U114">
        <v>2</v>
      </c>
      <c r="V114">
        <v>50</v>
      </c>
      <c r="W114">
        <v>140</v>
      </c>
      <c r="X114">
        <v>5</v>
      </c>
      <c r="Y114">
        <v>266</v>
      </c>
      <c r="Z114">
        <v>166</v>
      </c>
      <c r="AA114" t="s">
        <v>36</v>
      </c>
      <c r="AB114" t="s">
        <v>119</v>
      </c>
      <c r="AC114">
        <v>4</v>
      </c>
      <c r="AD114" t="s">
        <v>105</v>
      </c>
      <c r="AE114" t="s">
        <v>20</v>
      </c>
      <c r="AF114" t="str">
        <f t="shared" si="3"/>
        <v>Yes</v>
      </c>
    </row>
    <row r="115" spans="1:32" x14ac:dyDescent="0.3">
      <c r="A115" t="s">
        <v>464</v>
      </c>
      <c r="B115" s="1">
        <v>45783</v>
      </c>
      <c r="C115" t="s">
        <v>259</v>
      </c>
      <c r="D115">
        <f t="shared" si="2"/>
        <v>18</v>
      </c>
      <c r="E115" t="s">
        <v>47</v>
      </c>
      <c r="F115" t="s">
        <v>48</v>
      </c>
      <c r="G115" t="s">
        <v>181</v>
      </c>
      <c r="H115" t="s">
        <v>81</v>
      </c>
      <c r="I115" t="s">
        <v>82</v>
      </c>
      <c r="J115" t="s">
        <v>7</v>
      </c>
      <c r="K115" t="s">
        <v>306</v>
      </c>
      <c r="L115" t="s">
        <v>465</v>
      </c>
      <c r="M115" t="s">
        <v>169</v>
      </c>
      <c r="N115" t="s">
        <v>11</v>
      </c>
      <c r="O115">
        <v>27</v>
      </c>
      <c r="P115" t="s">
        <v>31</v>
      </c>
      <c r="Q115" t="s">
        <v>291</v>
      </c>
      <c r="R115" t="s">
        <v>292</v>
      </c>
      <c r="S115" t="s">
        <v>242</v>
      </c>
      <c r="T115" t="s">
        <v>16</v>
      </c>
      <c r="U115">
        <v>2</v>
      </c>
      <c r="V115">
        <v>68</v>
      </c>
      <c r="W115">
        <v>204</v>
      </c>
      <c r="X115">
        <v>5</v>
      </c>
      <c r="Y115">
        <v>387.6</v>
      </c>
      <c r="Z115">
        <v>251.6</v>
      </c>
      <c r="AA115" t="s">
        <v>43</v>
      </c>
      <c r="AB115" t="s">
        <v>44</v>
      </c>
      <c r="AD115" t="s">
        <v>19</v>
      </c>
      <c r="AE115" t="s">
        <v>20</v>
      </c>
      <c r="AF115" t="str">
        <f t="shared" si="3"/>
        <v>Yes</v>
      </c>
    </row>
    <row r="116" spans="1:32" x14ac:dyDescent="0.3">
      <c r="A116" t="s">
        <v>466</v>
      </c>
      <c r="B116" s="1">
        <v>45747</v>
      </c>
      <c r="C116" t="s">
        <v>22</v>
      </c>
      <c r="D116">
        <f t="shared" si="2"/>
        <v>7</v>
      </c>
      <c r="E116" t="s">
        <v>72</v>
      </c>
      <c r="F116" t="s">
        <v>3</v>
      </c>
      <c r="G116" t="s">
        <v>23</v>
      </c>
      <c r="H116" t="s">
        <v>49</v>
      </c>
      <c r="I116" t="s">
        <v>50</v>
      </c>
      <c r="J116" t="s">
        <v>7</v>
      </c>
      <c r="K116" t="s">
        <v>245</v>
      </c>
      <c r="L116" t="s">
        <v>452</v>
      </c>
      <c r="M116" t="s">
        <v>261</v>
      </c>
      <c r="N116" t="s">
        <v>11</v>
      </c>
      <c r="O116">
        <v>27</v>
      </c>
      <c r="P116" t="s">
        <v>76</v>
      </c>
      <c r="Q116" t="s">
        <v>226</v>
      </c>
      <c r="R116" t="s">
        <v>227</v>
      </c>
      <c r="S116" t="s">
        <v>68</v>
      </c>
      <c r="T116" t="s">
        <v>35</v>
      </c>
      <c r="U116">
        <v>4</v>
      </c>
      <c r="V116">
        <v>43</v>
      </c>
      <c r="W116">
        <v>94.6</v>
      </c>
      <c r="X116">
        <v>15</v>
      </c>
      <c r="Y116">
        <v>321.64</v>
      </c>
      <c r="Z116">
        <v>149.63999999999999</v>
      </c>
      <c r="AA116" t="s">
        <v>17</v>
      </c>
      <c r="AB116" t="s">
        <v>129</v>
      </c>
      <c r="AC116">
        <v>3</v>
      </c>
      <c r="AD116" t="s">
        <v>105</v>
      </c>
      <c r="AE116" t="s">
        <v>20</v>
      </c>
      <c r="AF116" t="str">
        <f t="shared" si="3"/>
        <v>Yes</v>
      </c>
    </row>
    <row r="117" spans="1:32" x14ac:dyDescent="0.3">
      <c r="A117" t="s">
        <v>467</v>
      </c>
      <c r="B117" s="1">
        <v>45836</v>
      </c>
      <c r="C117" t="s">
        <v>417</v>
      </c>
      <c r="D117">
        <f t="shared" si="2"/>
        <v>16</v>
      </c>
      <c r="E117" t="s">
        <v>131</v>
      </c>
      <c r="F117" t="s">
        <v>48</v>
      </c>
      <c r="G117" t="s">
        <v>132</v>
      </c>
      <c r="H117" t="s">
        <v>122</v>
      </c>
      <c r="I117" t="s">
        <v>123</v>
      </c>
      <c r="J117" t="s">
        <v>7</v>
      </c>
      <c r="K117" t="s">
        <v>138</v>
      </c>
      <c r="L117" t="s">
        <v>468</v>
      </c>
      <c r="M117" t="s">
        <v>53</v>
      </c>
      <c r="N117" t="s">
        <v>11</v>
      </c>
      <c r="O117">
        <v>54</v>
      </c>
      <c r="P117" t="s">
        <v>54</v>
      </c>
      <c r="Q117" t="s">
        <v>55</v>
      </c>
      <c r="R117" t="s">
        <v>56</v>
      </c>
      <c r="S117" t="s">
        <v>57</v>
      </c>
      <c r="T117" t="s">
        <v>35</v>
      </c>
      <c r="U117">
        <v>2</v>
      </c>
      <c r="V117">
        <v>36</v>
      </c>
      <c r="W117">
        <v>79.2</v>
      </c>
      <c r="X117">
        <v>5</v>
      </c>
      <c r="Y117">
        <v>150.47999999999999</v>
      </c>
      <c r="Z117">
        <v>78.48</v>
      </c>
      <c r="AA117" t="s">
        <v>17</v>
      </c>
      <c r="AB117" t="s">
        <v>44</v>
      </c>
      <c r="AC117">
        <v>4</v>
      </c>
      <c r="AD117" t="s">
        <v>105</v>
      </c>
      <c r="AE117" t="s">
        <v>95</v>
      </c>
      <c r="AF117" t="str">
        <f t="shared" si="3"/>
        <v>No</v>
      </c>
    </row>
    <row r="118" spans="1:32" x14ac:dyDescent="0.3">
      <c r="A118" t="s">
        <v>469</v>
      </c>
      <c r="B118" s="1">
        <v>45734</v>
      </c>
      <c r="C118" t="s">
        <v>322</v>
      </c>
      <c r="D118">
        <f t="shared" si="2"/>
        <v>10</v>
      </c>
      <c r="E118" t="s">
        <v>72</v>
      </c>
      <c r="F118" t="s">
        <v>3</v>
      </c>
      <c r="G118" t="s">
        <v>181</v>
      </c>
      <c r="H118" t="s">
        <v>81</v>
      </c>
      <c r="I118" t="s">
        <v>82</v>
      </c>
      <c r="J118" t="s">
        <v>7</v>
      </c>
      <c r="K118" t="s">
        <v>114</v>
      </c>
      <c r="L118" t="s">
        <v>224</v>
      </c>
      <c r="M118" t="s">
        <v>162</v>
      </c>
      <c r="N118" t="s">
        <v>11</v>
      </c>
      <c r="O118">
        <v>63</v>
      </c>
      <c r="P118" t="s">
        <v>12</v>
      </c>
      <c r="Q118" t="s">
        <v>13</v>
      </c>
      <c r="R118" t="s">
        <v>14</v>
      </c>
      <c r="S118" t="s">
        <v>15</v>
      </c>
      <c r="T118" t="s">
        <v>16</v>
      </c>
      <c r="U118">
        <v>3</v>
      </c>
      <c r="V118">
        <v>43</v>
      </c>
      <c r="W118">
        <v>129</v>
      </c>
      <c r="X118">
        <v>15</v>
      </c>
      <c r="Y118">
        <v>328.95</v>
      </c>
      <c r="Z118">
        <v>199.95</v>
      </c>
      <c r="AA118" t="s">
        <v>17</v>
      </c>
      <c r="AB118" t="s">
        <v>44</v>
      </c>
      <c r="AD118" t="s">
        <v>19</v>
      </c>
      <c r="AE118" t="s">
        <v>20</v>
      </c>
      <c r="AF118" t="str">
        <f t="shared" si="3"/>
        <v>Yes</v>
      </c>
    </row>
    <row r="119" spans="1:32" x14ac:dyDescent="0.3">
      <c r="A119" t="s">
        <v>470</v>
      </c>
      <c r="B119" s="1">
        <v>45675</v>
      </c>
      <c r="C119" t="s">
        <v>298</v>
      </c>
      <c r="D119">
        <f t="shared" si="2"/>
        <v>11</v>
      </c>
      <c r="E119" t="s">
        <v>2</v>
      </c>
      <c r="F119" t="s">
        <v>3</v>
      </c>
      <c r="G119" t="s">
        <v>132</v>
      </c>
      <c r="H119" t="s">
        <v>122</v>
      </c>
      <c r="I119" t="s">
        <v>123</v>
      </c>
      <c r="J119" t="s">
        <v>7</v>
      </c>
      <c r="K119" t="s">
        <v>323</v>
      </c>
      <c r="L119" t="s">
        <v>197</v>
      </c>
      <c r="M119" t="s">
        <v>65</v>
      </c>
      <c r="N119" t="s">
        <v>11</v>
      </c>
      <c r="O119">
        <v>34</v>
      </c>
      <c r="P119" t="s">
        <v>91</v>
      </c>
      <c r="Q119" t="s">
        <v>262</v>
      </c>
      <c r="R119" t="s">
        <v>263</v>
      </c>
      <c r="S119" t="s">
        <v>218</v>
      </c>
      <c r="T119" t="s">
        <v>35</v>
      </c>
      <c r="U119">
        <v>4</v>
      </c>
      <c r="V119">
        <v>40</v>
      </c>
      <c r="W119">
        <v>112</v>
      </c>
      <c r="X119">
        <v>15</v>
      </c>
      <c r="Y119">
        <v>380.8</v>
      </c>
      <c r="Z119">
        <v>220.8</v>
      </c>
      <c r="AA119" t="s">
        <v>179</v>
      </c>
      <c r="AB119" t="s">
        <v>37</v>
      </c>
      <c r="AC119">
        <v>4</v>
      </c>
      <c r="AD119" t="s">
        <v>105</v>
      </c>
      <c r="AE119" t="s">
        <v>20</v>
      </c>
      <c r="AF119" t="str">
        <f t="shared" si="3"/>
        <v>Yes</v>
      </c>
    </row>
    <row r="120" spans="1:32" x14ac:dyDescent="0.3">
      <c r="A120" t="s">
        <v>471</v>
      </c>
      <c r="B120" s="1">
        <v>45821</v>
      </c>
      <c r="C120" t="s">
        <v>298</v>
      </c>
      <c r="D120">
        <f t="shared" si="2"/>
        <v>11</v>
      </c>
      <c r="E120" t="s">
        <v>131</v>
      </c>
      <c r="F120" t="s">
        <v>48</v>
      </c>
      <c r="G120" t="s">
        <v>40</v>
      </c>
      <c r="H120" t="s">
        <v>99</v>
      </c>
      <c r="I120" t="s">
        <v>100</v>
      </c>
      <c r="J120" t="s">
        <v>101</v>
      </c>
      <c r="K120" t="s">
        <v>146</v>
      </c>
      <c r="L120" t="s">
        <v>472</v>
      </c>
      <c r="M120" t="s">
        <v>53</v>
      </c>
      <c r="N120" t="s">
        <v>30</v>
      </c>
      <c r="O120">
        <v>40</v>
      </c>
      <c r="P120" t="s">
        <v>76</v>
      </c>
      <c r="Q120" t="s">
        <v>77</v>
      </c>
      <c r="R120" t="s">
        <v>78</v>
      </c>
      <c r="S120" t="s">
        <v>68</v>
      </c>
      <c r="T120" t="s">
        <v>16</v>
      </c>
      <c r="U120">
        <v>3</v>
      </c>
      <c r="V120">
        <v>35</v>
      </c>
      <c r="W120">
        <v>105</v>
      </c>
      <c r="X120">
        <v>10</v>
      </c>
      <c r="Y120">
        <v>283.5</v>
      </c>
      <c r="Z120">
        <v>178.5</v>
      </c>
      <c r="AA120" t="s">
        <v>17</v>
      </c>
      <c r="AB120" t="s">
        <v>37</v>
      </c>
      <c r="AC120">
        <v>5</v>
      </c>
      <c r="AD120" t="s">
        <v>19</v>
      </c>
      <c r="AE120" t="s">
        <v>95</v>
      </c>
      <c r="AF120" t="str">
        <f t="shared" si="3"/>
        <v>No</v>
      </c>
    </row>
    <row r="121" spans="1:32" x14ac:dyDescent="0.3">
      <c r="A121" t="s">
        <v>473</v>
      </c>
      <c r="B121" s="1">
        <v>45767</v>
      </c>
      <c r="C121" t="s">
        <v>474</v>
      </c>
      <c r="D121">
        <f t="shared" si="2"/>
        <v>12</v>
      </c>
      <c r="E121" t="s">
        <v>60</v>
      </c>
      <c r="F121" t="s">
        <v>48</v>
      </c>
      <c r="G121" t="s">
        <v>4</v>
      </c>
      <c r="H121" t="s">
        <v>164</v>
      </c>
      <c r="I121" t="s">
        <v>165</v>
      </c>
      <c r="J121" t="s">
        <v>166</v>
      </c>
      <c r="K121" t="s">
        <v>27</v>
      </c>
      <c r="L121" t="s">
        <v>475</v>
      </c>
      <c r="M121" t="s">
        <v>225</v>
      </c>
      <c r="N121" t="s">
        <v>30</v>
      </c>
      <c r="O121">
        <v>46</v>
      </c>
      <c r="P121" t="s">
        <v>31</v>
      </c>
      <c r="Q121" t="s">
        <v>291</v>
      </c>
      <c r="R121" t="s">
        <v>292</v>
      </c>
      <c r="S121" t="s">
        <v>242</v>
      </c>
      <c r="T121" t="s">
        <v>16</v>
      </c>
      <c r="U121">
        <v>4</v>
      </c>
      <c r="V121">
        <v>68</v>
      </c>
      <c r="W121">
        <v>204</v>
      </c>
      <c r="X121">
        <v>0</v>
      </c>
      <c r="Y121">
        <v>816</v>
      </c>
      <c r="Z121">
        <v>544</v>
      </c>
      <c r="AA121" t="s">
        <v>69</v>
      </c>
      <c r="AB121" t="s">
        <v>87</v>
      </c>
      <c r="AC121">
        <v>3</v>
      </c>
      <c r="AD121" t="s">
        <v>19</v>
      </c>
      <c r="AE121" t="s">
        <v>20</v>
      </c>
      <c r="AF121" t="str">
        <f t="shared" si="3"/>
        <v>Yes</v>
      </c>
    </row>
    <row r="122" spans="1:32" x14ac:dyDescent="0.3">
      <c r="A122" t="s">
        <v>476</v>
      </c>
      <c r="B122" s="1">
        <v>45788</v>
      </c>
      <c r="C122" t="s">
        <v>337</v>
      </c>
      <c r="D122">
        <f t="shared" si="2"/>
        <v>17</v>
      </c>
      <c r="E122" t="s">
        <v>47</v>
      </c>
      <c r="F122" t="s">
        <v>48</v>
      </c>
      <c r="G122" t="s">
        <v>4</v>
      </c>
      <c r="H122" t="s">
        <v>49</v>
      </c>
      <c r="I122" t="s">
        <v>50</v>
      </c>
      <c r="J122" t="s">
        <v>7</v>
      </c>
      <c r="K122" t="s">
        <v>83</v>
      </c>
      <c r="L122" t="s">
        <v>477</v>
      </c>
      <c r="M122" t="s">
        <v>169</v>
      </c>
      <c r="N122" t="s">
        <v>30</v>
      </c>
      <c r="O122">
        <v>49</v>
      </c>
      <c r="P122" t="s">
        <v>91</v>
      </c>
      <c r="Q122" t="s">
        <v>92</v>
      </c>
      <c r="R122" t="s">
        <v>93</v>
      </c>
      <c r="S122" t="s">
        <v>94</v>
      </c>
      <c r="T122" t="s">
        <v>16</v>
      </c>
      <c r="U122">
        <v>2</v>
      </c>
      <c r="V122">
        <v>85</v>
      </c>
      <c r="W122">
        <v>255</v>
      </c>
      <c r="X122">
        <v>10</v>
      </c>
      <c r="Y122">
        <v>459</v>
      </c>
      <c r="Z122">
        <v>289</v>
      </c>
      <c r="AA122" t="s">
        <v>17</v>
      </c>
      <c r="AB122" t="s">
        <v>119</v>
      </c>
      <c r="AC122">
        <v>5</v>
      </c>
      <c r="AD122" t="s">
        <v>105</v>
      </c>
      <c r="AE122" t="s">
        <v>20</v>
      </c>
      <c r="AF122" t="str">
        <f t="shared" si="3"/>
        <v>Yes</v>
      </c>
    </row>
    <row r="123" spans="1:32" x14ac:dyDescent="0.3">
      <c r="A123" t="s">
        <v>478</v>
      </c>
      <c r="B123" s="1">
        <v>45670</v>
      </c>
      <c r="C123" t="s">
        <v>373</v>
      </c>
      <c r="D123">
        <f t="shared" si="2"/>
        <v>9</v>
      </c>
      <c r="E123" t="s">
        <v>2</v>
      </c>
      <c r="F123" t="s">
        <v>3</v>
      </c>
      <c r="G123" t="s">
        <v>23</v>
      </c>
      <c r="H123" t="s">
        <v>159</v>
      </c>
      <c r="I123" t="s">
        <v>160</v>
      </c>
      <c r="J123" t="s">
        <v>161</v>
      </c>
      <c r="K123" t="s">
        <v>146</v>
      </c>
      <c r="L123" t="s">
        <v>479</v>
      </c>
      <c r="M123" t="s">
        <v>29</v>
      </c>
      <c r="N123" t="s">
        <v>11</v>
      </c>
      <c r="O123">
        <v>17</v>
      </c>
      <c r="P123" t="s">
        <v>91</v>
      </c>
      <c r="Q123" t="s">
        <v>240</v>
      </c>
      <c r="R123" t="s">
        <v>241</v>
      </c>
      <c r="S123" t="s">
        <v>242</v>
      </c>
      <c r="T123" t="s">
        <v>35</v>
      </c>
      <c r="U123">
        <v>3</v>
      </c>
      <c r="V123">
        <v>89</v>
      </c>
      <c r="W123">
        <v>267</v>
      </c>
      <c r="X123">
        <v>10</v>
      </c>
      <c r="Y123">
        <v>720.9</v>
      </c>
      <c r="Z123">
        <v>453.9</v>
      </c>
      <c r="AA123" t="s">
        <v>36</v>
      </c>
      <c r="AB123" t="s">
        <v>37</v>
      </c>
      <c r="AC123">
        <v>4</v>
      </c>
      <c r="AD123" t="s">
        <v>19</v>
      </c>
      <c r="AE123" t="s">
        <v>20</v>
      </c>
      <c r="AF123" t="str">
        <f t="shared" si="3"/>
        <v>Yes</v>
      </c>
    </row>
    <row r="124" spans="1:32" x14ac:dyDescent="0.3">
      <c r="A124" t="s">
        <v>480</v>
      </c>
      <c r="B124" s="1">
        <v>45804</v>
      </c>
      <c r="C124" t="s">
        <v>39</v>
      </c>
      <c r="D124">
        <f t="shared" si="2"/>
        <v>18</v>
      </c>
      <c r="E124" t="s">
        <v>47</v>
      </c>
      <c r="F124" t="s">
        <v>48</v>
      </c>
      <c r="G124" t="s">
        <v>181</v>
      </c>
      <c r="H124" t="s">
        <v>49</v>
      </c>
      <c r="I124" t="s">
        <v>50</v>
      </c>
      <c r="J124" t="s">
        <v>7</v>
      </c>
      <c r="K124" t="s">
        <v>41</v>
      </c>
      <c r="L124" t="s">
        <v>481</v>
      </c>
      <c r="M124" t="s">
        <v>29</v>
      </c>
      <c r="N124" t="s">
        <v>30</v>
      </c>
      <c r="O124">
        <v>23</v>
      </c>
      <c r="P124" t="s">
        <v>54</v>
      </c>
      <c r="Q124" t="s">
        <v>211</v>
      </c>
      <c r="R124" t="s">
        <v>212</v>
      </c>
      <c r="S124" t="s">
        <v>128</v>
      </c>
      <c r="T124" t="s">
        <v>16</v>
      </c>
      <c r="U124">
        <v>2</v>
      </c>
      <c r="V124">
        <v>50</v>
      </c>
      <c r="W124">
        <v>140</v>
      </c>
      <c r="X124">
        <v>10</v>
      </c>
      <c r="Y124">
        <v>252</v>
      </c>
      <c r="Z124">
        <v>152</v>
      </c>
      <c r="AA124" t="s">
        <v>36</v>
      </c>
      <c r="AB124" t="s">
        <v>87</v>
      </c>
      <c r="AD124" t="s">
        <v>105</v>
      </c>
      <c r="AE124" t="s">
        <v>20</v>
      </c>
      <c r="AF124" t="str">
        <f t="shared" si="3"/>
        <v>Yes</v>
      </c>
    </row>
    <row r="125" spans="1:32" x14ac:dyDescent="0.3">
      <c r="A125" t="s">
        <v>482</v>
      </c>
      <c r="B125" s="1">
        <v>45696</v>
      </c>
      <c r="C125" t="s">
        <v>97</v>
      </c>
      <c r="D125">
        <f t="shared" si="2"/>
        <v>7</v>
      </c>
      <c r="E125" t="s">
        <v>145</v>
      </c>
      <c r="F125" t="s">
        <v>3</v>
      </c>
      <c r="G125" t="s">
        <v>132</v>
      </c>
      <c r="H125" t="s">
        <v>24</v>
      </c>
      <c r="I125" t="s">
        <v>25</v>
      </c>
      <c r="J125" t="s">
        <v>26</v>
      </c>
      <c r="K125" t="s">
        <v>83</v>
      </c>
      <c r="L125" t="s">
        <v>483</v>
      </c>
      <c r="M125" t="s">
        <v>225</v>
      </c>
      <c r="N125" t="s">
        <v>30</v>
      </c>
      <c r="O125">
        <v>28</v>
      </c>
      <c r="P125" t="s">
        <v>91</v>
      </c>
      <c r="Q125" t="s">
        <v>431</v>
      </c>
      <c r="R125" t="s">
        <v>432</v>
      </c>
      <c r="S125" t="s">
        <v>172</v>
      </c>
      <c r="T125" t="s">
        <v>35</v>
      </c>
      <c r="U125">
        <v>4</v>
      </c>
      <c r="V125">
        <v>77</v>
      </c>
      <c r="W125">
        <v>192.5</v>
      </c>
      <c r="X125">
        <v>5</v>
      </c>
      <c r="Y125">
        <v>731.5</v>
      </c>
      <c r="Z125">
        <v>423.5</v>
      </c>
      <c r="AA125" t="s">
        <v>69</v>
      </c>
      <c r="AB125" t="s">
        <v>37</v>
      </c>
      <c r="AC125">
        <v>4</v>
      </c>
      <c r="AD125" t="s">
        <v>105</v>
      </c>
      <c r="AE125" t="s">
        <v>20</v>
      </c>
      <c r="AF125" t="str">
        <f t="shared" si="3"/>
        <v>Yes</v>
      </c>
    </row>
    <row r="126" spans="1:32" x14ac:dyDescent="0.3">
      <c r="A126" t="s">
        <v>484</v>
      </c>
      <c r="B126" s="1">
        <v>45810</v>
      </c>
      <c r="C126" t="s">
        <v>322</v>
      </c>
      <c r="D126">
        <f t="shared" si="2"/>
        <v>10</v>
      </c>
      <c r="E126" t="s">
        <v>131</v>
      </c>
      <c r="F126" t="s">
        <v>48</v>
      </c>
      <c r="G126" t="s">
        <v>23</v>
      </c>
      <c r="H126" t="s">
        <v>49</v>
      </c>
      <c r="I126" t="s">
        <v>50</v>
      </c>
      <c r="J126" t="s">
        <v>7</v>
      </c>
      <c r="K126" t="s">
        <v>346</v>
      </c>
      <c r="L126" t="s">
        <v>485</v>
      </c>
      <c r="M126" t="s">
        <v>53</v>
      </c>
      <c r="N126" t="s">
        <v>30</v>
      </c>
      <c r="O126">
        <v>36</v>
      </c>
      <c r="P126" t="s">
        <v>54</v>
      </c>
      <c r="Q126" t="s">
        <v>55</v>
      </c>
      <c r="R126" t="s">
        <v>56</v>
      </c>
      <c r="S126" t="s">
        <v>57</v>
      </c>
      <c r="T126" t="s">
        <v>35</v>
      </c>
      <c r="U126">
        <v>3</v>
      </c>
      <c r="V126">
        <v>36</v>
      </c>
      <c r="W126">
        <v>79.2</v>
      </c>
      <c r="X126">
        <v>10</v>
      </c>
      <c r="Y126">
        <v>213.84</v>
      </c>
      <c r="Z126">
        <v>105.84</v>
      </c>
      <c r="AA126" t="s">
        <v>43</v>
      </c>
      <c r="AB126" t="s">
        <v>129</v>
      </c>
      <c r="AC126">
        <v>5</v>
      </c>
      <c r="AD126" t="s">
        <v>19</v>
      </c>
      <c r="AE126" t="s">
        <v>95</v>
      </c>
      <c r="AF126" t="str">
        <f t="shared" si="3"/>
        <v>No</v>
      </c>
    </row>
    <row r="127" spans="1:32" x14ac:dyDescent="0.3">
      <c r="A127" t="s">
        <v>486</v>
      </c>
      <c r="B127" s="1">
        <v>45710</v>
      </c>
      <c r="C127" t="s">
        <v>97</v>
      </c>
      <c r="D127">
        <f t="shared" si="2"/>
        <v>7</v>
      </c>
      <c r="E127" t="s">
        <v>145</v>
      </c>
      <c r="F127" t="s">
        <v>3</v>
      </c>
      <c r="G127" t="s">
        <v>132</v>
      </c>
      <c r="H127" t="s">
        <v>159</v>
      </c>
      <c r="I127" t="s">
        <v>160</v>
      </c>
      <c r="J127" t="s">
        <v>161</v>
      </c>
      <c r="K127" t="s">
        <v>245</v>
      </c>
      <c r="L127" t="s">
        <v>487</v>
      </c>
      <c r="M127" t="s">
        <v>53</v>
      </c>
      <c r="N127" t="s">
        <v>30</v>
      </c>
      <c r="O127">
        <v>50</v>
      </c>
      <c r="P127" t="s">
        <v>12</v>
      </c>
      <c r="Q127" t="s">
        <v>240</v>
      </c>
      <c r="R127" t="s">
        <v>241</v>
      </c>
      <c r="S127" t="s">
        <v>242</v>
      </c>
      <c r="T127" t="s">
        <v>35</v>
      </c>
      <c r="U127">
        <v>2</v>
      </c>
      <c r="V127">
        <v>89</v>
      </c>
      <c r="W127">
        <v>267</v>
      </c>
      <c r="X127">
        <v>10</v>
      </c>
      <c r="Y127">
        <v>480.6</v>
      </c>
      <c r="Z127">
        <v>302.60000000000002</v>
      </c>
      <c r="AA127" t="s">
        <v>36</v>
      </c>
      <c r="AB127" t="s">
        <v>44</v>
      </c>
      <c r="AC127">
        <v>5</v>
      </c>
      <c r="AD127" t="s">
        <v>105</v>
      </c>
      <c r="AE127" t="s">
        <v>95</v>
      </c>
      <c r="AF127" t="str">
        <f t="shared" si="3"/>
        <v>No</v>
      </c>
    </row>
    <row r="128" spans="1:32" x14ac:dyDescent="0.3">
      <c r="A128" t="s">
        <v>488</v>
      </c>
      <c r="B128" s="1">
        <v>45782</v>
      </c>
      <c r="C128" t="s">
        <v>298</v>
      </c>
      <c r="D128">
        <f t="shared" si="2"/>
        <v>11</v>
      </c>
      <c r="E128" t="s">
        <v>47</v>
      </c>
      <c r="F128" t="s">
        <v>48</v>
      </c>
      <c r="G128" t="s">
        <v>23</v>
      </c>
      <c r="H128" t="s">
        <v>61</v>
      </c>
      <c r="I128" t="s">
        <v>62</v>
      </c>
      <c r="J128" t="s">
        <v>7</v>
      </c>
      <c r="K128" t="s">
        <v>167</v>
      </c>
      <c r="L128" t="s">
        <v>294</v>
      </c>
      <c r="M128" t="s">
        <v>65</v>
      </c>
      <c r="N128" t="s">
        <v>11</v>
      </c>
      <c r="O128">
        <v>59</v>
      </c>
      <c r="P128" t="s">
        <v>54</v>
      </c>
      <c r="Q128" t="s">
        <v>291</v>
      </c>
      <c r="R128" t="s">
        <v>292</v>
      </c>
      <c r="S128" t="s">
        <v>242</v>
      </c>
      <c r="T128" t="s">
        <v>16</v>
      </c>
      <c r="U128">
        <v>2</v>
      </c>
      <c r="V128">
        <v>68</v>
      </c>
      <c r="W128">
        <v>204</v>
      </c>
      <c r="X128">
        <v>10</v>
      </c>
      <c r="Y128">
        <v>367.2</v>
      </c>
      <c r="Z128">
        <v>231.2</v>
      </c>
      <c r="AA128" t="s">
        <v>17</v>
      </c>
      <c r="AB128" t="s">
        <v>87</v>
      </c>
      <c r="AC128">
        <v>4</v>
      </c>
      <c r="AD128" t="s">
        <v>19</v>
      </c>
      <c r="AE128" t="s">
        <v>20</v>
      </c>
      <c r="AF128" t="str">
        <f t="shared" si="3"/>
        <v>Yes</v>
      </c>
    </row>
    <row r="129" spans="1:32" x14ac:dyDescent="0.3">
      <c r="A129" t="s">
        <v>489</v>
      </c>
      <c r="B129" s="1">
        <v>45764</v>
      </c>
      <c r="C129" t="s">
        <v>388</v>
      </c>
      <c r="D129">
        <f t="shared" si="2"/>
        <v>19</v>
      </c>
      <c r="E129" t="s">
        <v>60</v>
      </c>
      <c r="F129" t="s">
        <v>48</v>
      </c>
      <c r="G129" t="s">
        <v>98</v>
      </c>
      <c r="H129" t="s">
        <v>49</v>
      </c>
      <c r="I129" t="s">
        <v>50</v>
      </c>
      <c r="J129" t="s">
        <v>7</v>
      </c>
      <c r="K129" t="s">
        <v>306</v>
      </c>
      <c r="L129" t="s">
        <v>175</v>
      </c>
      <c r="M129" t="s">
        <v>65</v>
      </c>
      <c r="N129" t="s">
        <v>30</v>
      </c>
      <c r="O129">
        <v>60</v>
      </c>
      <c r="P129" t="s">
        <v>91</v>
      </c>
      <c r="Q129" t="s">
        <v>176</v>
      </c>
      <c r="R129" t="s">
        <v>177</v>
      </c>
      <c r="S129" t="s">
        <v>178</v>
      </c>
      <c r="T129" t="s">
        <v>16</v>
      </c>
      <c r="U129">
        <v>2</v>
      </c>
      <c r="V129">
        <v>56</v>
      </c>
      <c r="W129">
        <v>156.80000000000001</v>
      </c>
      <c r="X129">
        <v>10</v>
      </c>
      <c r="Y129">
        <v>282.24</v>
      </c>
      <c r="Z129">
        <v>170.24</v>
      </c>
      <c r="AA129" t="s">
        <v>179</v>
      </c>
      <c r="AB129" t="s">
        <v>44</v>
      </c>
      <c r="AC129">
        <v>3</v>
      </c>
      <c r="AD129" t="s">
        <v>105</v>
      </c>
      <c r="AE129" t="s">
        <v>20</v>
      </c>
      <c r="AF129" t="str">
        <f t="shared" si="3"/>
        <v>Yes</v>
      </c>
    </row>
    <row r="130" spans="1:32" x14ac:dyDescent="0.3">
      <c r="A130" t="s">
        <v>490</v>
      </c>
      <c r="B130" s="1">
        <v>45708</v>
      </c>
      <c r="C130" t="s">
        <v>121</v>
      </c>
      <c r="D130">
        <f t="shared" ref="D130:D193" si="4">HOUR(C130)</f>
        <v>9</v>
      </c>
      <c r="E130" t="s">
        <v>145</v>
      </c>
      <c r="F130" t="s">
        <v>3</v>
      </c>
      <c r="G130" t="s">
        <v>98</v>
      </c>
      <c r="H130" t="s">
        <v>159</v>
      </c>
      <c r="I130" t="s">
        <v>160</v>
      </c>
      <c r="J130" t="s">
        <v>161</v>
      </c>
      <c r="K130" t="s">
        <v>323</v>
      </c>
      <c r="L130" t="s">
        <v>491</v>
      </c>
      <c r="M130" t="s">
        <v>169</v>
      </c>
      <c r="N130" t="s">
        <v>30</v>
      </c>
      <c r="O130">
        <v>44</v>
      </c>
      <c r="P130" t="s">
        <v>12</v>
      </c>
      <c r="Q130" t="s">
        <v>313</v>
      </c>
      <c r="R130" t="s">
        <v>314</v>
      </c>
      <c r="S130" t="s">
        <v>128</v>
      </c>
      <c r="T130" t="s">
        <v>35</v>
      </c>
      <c r="U130">
        <v>1</v>
      </c>
      <c r="V130">
        <v>81</v>
      </c>
      <c r="W130">
        <v>202.5</v>
      </c>
      <c r="X130">
        <v>5</v>
      </c>
      <c r="Y130">
        <v>192.38</v>
      </c>
      <c r="Z130">
        <v>111.38</v>
      </c>
      <c r="AA130" t="s">
        <v>69</v>
      </c>
      <c r="AB130" t="s">
        <v>37</v>
      </c>
      <c r="AC130">
        <v>4</v>
      </c>
      <c r="AD130" t="s">
        <v>19</v>
      </c>
      <c r="AE130" t="s">
        <v>20</v>
      </c>
      <c r="AF130" t="str">
        <f t="shared" si="3"/>
        <v>Yes</v>
      </c>
    </row>
    <row r="131" spans="1:32" x14ac:dyDescent="0.3">
      <c r="A131" t="s">
        <v>492</v>
      </c>
      <c r="B131" s="1">
        <v>45740</v>
      </c>
      <c r="C131" t="s">
        <v>199</v>
      </c>
      <c r="D131">
        <f t="shared" si="4"/>
        <v>10</v>
      </c>
      <c r="E131" t="s">
        <v>72</v>
      </c>
      <c r="F131" t="s">
        <v>3</v>
      </c>
      <c r="G131" t="s">
        <v>23</v>
      </c>
      <c r="H131" t="s">
        <v>61</v>
      </c>
      <c r="I131" t="s">
        <v>62</v>
      </c>
      <c r="J131" t="s">
        <v>7</v>
      </c>
      <c r="K131" t="s">
        <v>8</v>
      </c>
      <c r="L131" t="s">
        <v>90</v>
      </c>
      <c r="M131" t="s">
        <v>184</v>
      </c>
      <c r="N131" t="s">
        <v>11</v>
      </c>
      <c r="O131">
        <v>25</v>
      </c>
      <c r="P131" t="s">
        <v>12</v>
      </c>
      <c r="Q131" t="s">
        <v>390</v>
      </c>
      <c r="R131" t="s">
        <v>391</v>
      </c>
      <c r="S131" t="s">
        <v>172</v>
      </c>
      <c r="T131" t="s">
        <v>16</v>
      </c>
      <c r="U131">
        <v>4</v>
      </c>
      <c r="V131">
        <v>69</v>
      </c>
      <c r="W131">
        <v>193.2</v>
      </c>
      <c r="X131">
        <v>10</v>
      </c>
      <c r="Y131">
        <v>695.52</v>
      </c>
      <c r="Z131">
        <v>419.52</v>
      </c>
      <c r="AA131" t="s">
        <v>179</v>
      </c>
      <c r="AB131" t="s">
        <v>87</v>
      </c>
      <c r="AC131">
        <v>3</v>
      </c>
      <c r="AD131" t="s">
        <v>19</v>
      </c>
      <c r="AE131" t="s">
        <v>95</v>
      </c>
      <c r="AF131" t="str">
        <f t="shared" si="3"/>
        <v>No</v>
      </c>
    </row>
    <row r="132" spans="1:32" x14ac:dyDescent="0.3">
      <c r="A132" t="s">
        <v>493</v>
      </c>
      <c r="B132" s="1">
        <v>45761</v>
      </c>
      <c r="C132" t="s">
        <v>59</v>
      </c>
      <c r="D132">
        <f t="shared" si="4"/>
        <v>16</v>
      </c>
      <c r="E132" t="s">
        <v>60</v>
      </c>
      <c r="F132" t="s">
        <v>48</v>
      </c>
      <c r="G132" t="s">
        <v>23</v>
      </c>
      <c r="H132" t="s">
        <v>99</v>
      </c>
      <c r="I132" t="s">
        <v>100</v>
      </c>
      <c r="J132" t="s">
        <v>101</v>
      </c>
      <c r="K132" t="s">
        <v>311</v>
      </c>
      <c r="L132" t="s">
        <v>494</v>
      </c>
      <c r="M132" t="s">
        <v>162</v>
      </c>
      <c r="N132" t="s">
        <v>11</v>
      </c>
      <c r="O132">
        <v>18</v>
      </c>
      <c r="P132" t="s">
        <v>12</v>
      </c>
      <c r="Q132" t="s">
        <v>267</v>
      </c>
      <c r="R132" t="s">
        <v>268</v>
      </c>
      <c r="S132" t="s">
        <v>15</v>
      </c>
      <c r="T132" t="s">
        <v>35</v>
      </c>
      <c r="U132">
        <v>1</v>
      </c>
      <c r="V132">
        <v>87</v>
      </c>
      <c r="W132">
        <v>261</v>
      </c>
      <c r="X132">
        <v>10</v>
      </c>
      <c r="Y132">
        <v>234.9</v>
      </c>
      <c r="Z132">
        <v>147.9</v>
      </c>
      <c r="AA132" t="s">
        <v>43</v>
      </c>
      <c r="AB132" t="s">
        <v>119</v>
      </c>
      <c r="AC132">
        <v>3</v>
      </c>
      <c r="AD132" t="s">
        <v>19</v>
      </c>
      <c r="AE132" t="s">
        <v>20</v>
      </c>
      <c r="AF132" t="str">
        <f t="shared" ref="AF132:AF195" si="5">IF(AE132="Completed","Yes",IF(AE132="Cancelled","No","Review"))</f>
        <v>Yes</v>
      </c>
    </row>
    <row r="133" spans="1:32" x14ac:dyDescent="0.3">
      <c r="A133" t="s">
        <v>495</v>
      </c>
      <c r="B133" s="1">
        <v>45732</v>
      </c>
      <c r="C133" t="s">
        <v>384</v>
      </c>
      <c r="D133">
        <f t="shared" si="4"/>
        <v>15</v>
      </c>
      <c r="E133" t="s">
        <v>72</v>
      </c>
      <c r="F133" t="s">
        <v>3</v>
      </c>
      <c r="G133" t="s">
        <v>4</v>
      </c>
      <c r="H133" t="s">
        <v>159</v>
      </c>
      <c r="I133" t="s">
        <v>160</v>
      </c>
      <c r="J133" t="s">
        <v>161</v>
      </c>
      <c r="K133" t="s">
        <v>270</v>
      </c>
      <c r="L133" t="s">
        <v>408</v>
      </c>
      <c r="M133" t="s">
        <v>261</v>
      </c>
      <c r="N133" t="s">
        <v>11</v>
      </c>
      <c r="O133">
        <v>29</v>
      </c>
      <c r="P133" t="s">
        <v>31</v>
      </c>
      <c r="Q133" t="s">
        <v>240</v>
      </c>
      <c r="R133" t="s">
        <v>241</v>
      </c>
      <c r="S133" t="s">
        <v>242</v>
      </c>
      <c r="T133" t="s">
        <v>35</v>
      </c>
      <c r="U133">
        <v>3</v>
      </c>
      <c r="V133">
        <v>89</v>
      </c>
      <c r="W133">
        <v>267</v>
      </c>
      <c r="X133">
        <v>0</v>
      </c>
      <c r="Y133">
        <v>801</v>
      </c>
      <c r="Z133">
        <v>534</v>
      </c>
      <c r="AA133" t="s">
        <v>17</v>
      </c>
      <c r="AB133" t="s">
        <v>18</v>
      </c>
      <c r="AC133">
        <v>3</v>
      </c>
      <c r="AD133" t="s">
        <v>19</v>
      </c>
      <c r="AE133" t="s">
        <v>95</v>
      </c>
      <c r="AF133" t="str">
        <f t="shared" si="5"/>
        <v>No</v>
      </c>
    </row>
    <row r="134" spans="1:32" x14ac:dyDescent="0.3">
      <c r="A134" t="s">
        <v>496</v>
      </c>
      <c r="B134" s="1">
        <v>45823</v>
      </c>
      <c r="C134" t="s">
        <v>407</v>
      </c>
      <c r="D134">
        <f t="shared" si="4"/>
        <v>8</v>
      </c>
      <c r="E134" t="s">
        <v>131</v>
      </c>
      <c r="F134" t="s">
        <v>48</v>
      </c>
      <c r="G134" t="s">
        <v>4</v>
      </c>
      <c r="H134" t="s">
        <v>24</v>
      </c>
      <c r="I134" t="s">
        <v>25</v>
      </c>
      <c r="J134" t="s">
        <v>26</v>
      </c>
      <c r="K134" t="s">
        <v>167</v>
      </c>
      <c r="L134" t="s">
        <v>408</v>
      </c>
      <c r="M134" t="s">
        <v>225</v>
      </c>
      <c r="N134" t="s">
        <v>30</v>
      </c>
      <c r="O134">
        <v>19</v>
      </c>
      <c r="P134" t="s">
        <v>91</v>
      </c>
      <c r="Q134" t="s">
        <v>211</v>
      </c>
      <c r="R134" t="s">
        <v>212</v>
      </c>
      <c r="S134" t="s">
        <v>128</v>
      </c>
      <c r="T134" t="s">
        <v>16</v>
      </c>
      <c r="U134">
        <v>4</v>
      </c>
      <c r="V134">
        <v>50</v>
      </c>
      <c r="W134">
        <v>140</v>
      </c>
      <c r="X134">
        <v>15</v>
      </c>
      <c r="Y134">
        <v>476</v>
      </c>
      <c r="Z134">
        <v>276</v>
      </c>
      <c r="AA134" t="s">
        <v>36</v>
      </c>
      <c r="AB134" t="s">
        <v>18</v>
      </c>
      <c r="AC134">
        <v>4</v>
      </c>
      <c r="AD134" t="s">
        <v>105</v>
      </c>
      <c r="AE134" t="s">
        <v>95</v>
      </c>
      <c r="AF134" t="str">
        <f t="shared" si="5"/>
        <v>No</v>
      </c>
    </row>
    <row r="135" spans="1:32" x14ac:dyDescent="0.3">
      <c r="A135" t="s">
        <v>497</v>
      </c>
      <c r="B135" s="1">
        <v>45765</v>
      </c>
      <c r="C135" t="s">
        <v>1</v>
      </c>
      <c r="D135">
        <f t="shared" si="4"/>
        <v>19</v>
      </c>
      <c r="E135" t="s">
        <v>60</v>
      </c>
      <c r="F135" t="s">
        <v>48</v>
      </c>
      <c r="G135" t="s">
        <v>40</v>
      </c>
      <c r="H135" t="s">
        <v>81</v>
      </c>
      <c r="I135" t="s">
        <v>82</v>
      </c>
      <c r="J135" t="s">
        <v>7</v>
      </c>
      <c r="K135" t="s">
        <v>311</v>
      </c>
      <c r="L135" t="s">
        <v>498</v>
      </c>
      <c r="M135" t="s">
        <v>184</v>
      </c>
      <c r="N135" t="s">
        <v>30</v>
      </c>
      <c r="O135">
        <v>57</v>
      </c>
      <c r="P135" t="s">
        <v>91</v>
      </c>
      <c r="Q135" t="s">
        <v>235</v>
      </c>
      <c r="R135" t="s">
        <v>236</v>
      </c>
      <c r="S135" t="s">
        <v>237</v>
      </c>
      <c r="T135" t="s">
        <v>35</v>
      </c>
      <c r="U135">
        <v>1</v>
      </c>
      <c r="V135">
        <v>22</v>
      </c>
      <c r="W135">
        <v>61.6</v>
      </c>
      <c r="X135">
        <v>0</v>
      </c>
      <c r="Y135">
        <v>61.6</v>
      </c>
      <c r="Z135">
        <v>39.6</v>
      </c>
      <c r="AA135" t="s">
        <v>179</v>
      </c>
      <c r="AB135" t="s">
        <v>44</v>
      </c>
      <c r="AC135">
        <v>4</v>
      </c>
      <c r="AD135" t="s">
        <v>19</v>
      </c>
      <c r="AE135" t="s">
        <v>20</v>
      </c>
      <c r="AF135" t="str">
        <f t="shared" si="5"/>
        <v>Yes</v>
      </c>
    </row>
    <row r="136" spans="1:32" x14ac:dyDescent="0.3">
      <c r="A136" t="s">
        <v>499</v>
      </c>
      <c r="B136" s="1">
        <v>45820</v>
      </c>
      <c r="C136" t="s">
        <v>39</v>
      </c>
      <c r="D136">
        <f t="shared" si="4"/>
        <v>18</v>
      </c>
      <c r="E136" t="s">
        <v>131</v>
      </c>
      <c r="F136" t="s">
        <v>48</v>
      </c>
      <c r="G136" t="s">
        <v>98</v>
      </c>
      <c r="H136" t="s">
        <v>164</v>
      </c>
      <c r="I136" t="s">
        <v>165</v>
      </c>
      <c r="J136" t="s">
        <v>166</v>
      </c>
      <c r="K136" t="s">
        <v>318</v>
      </c>
      <c r="L136" t="s">
        <v>500</v>
      </c>
      <c r="M136" t="s">
        <v>225</v>
      </c>
      <c r="N136" t="s">
        <v>11</v>
      </c>
      <c r="O136">
        <v>58</v>
      </c>
      <c r="P136" t="s">
        <v>12</v>
      </c>
      <c r="Q136" t="s">
        <v>116</v>
      </c>
      <c r="R136" t="s">
        <v>117</v>
      </c>
      <c r="S136" t="s">
        <v>118</v>
      </c>
      <c r="T136" t="s">
        <v>35</v>
      </c>
      <c r="U136">
        <v>4</v>
      </c>
      <c r="V136">
        <v>99</v>
      </c>
      <c r="W136">
        <v>277.2</v>
      </c>
      <c r="X136">
        <v>0</v>
      </c>
      <c r="Y136">
        <v>1108.8</v>
      </c>
      <c r="Z136">
        <v>712.8</v>
      </c>
      <c r="AA136" t="s">
        <v>69</v>
      </c>
      <c r="AB136" t="s">
        <v>18</v>
      </c>
      <c r="AC136">
        <v>3</v>
      </c>
      <c r="AD136" t="s">
        <v>19</v>
      </c>
      <c r="AE136" t="s">
        <v>20</v>
      </c>
      <c r="AF136" t="str">
        <f t="shared" si="5"/>
        <v>Yes</v>
      </c>
    </row>
    <row r="137" spans="1:32" x14ac:dyDescent="0.3">
      <c r="A137" t="s">
        <v>501</v>
      </c>
      <c r="B137" s="1">
        <v>45707</v>
      </c>
      <c r="C137" t="s">
        <v>351</v>
      </c>
      <c r="D137">
        <f t="shared" si="4"/>
        <v>9</v>
      </c>
      <c r="E137" t="s">
        <v>145</v>
      </c>
      <c r="F137" t="s">
        <v>3</v>
      </c>
      <c r="G137" t="s">
        <v>73</v>
      </c>
      <c r="H137" t="s">
        <v>122</v>
      </c>
      <c r="I137" t="s">
        <v>123</v>
      </c>
      <c r="J137" t="s">
        <v>7</v>
      </c>
      <c r="K137" t="s">
        <v>311</v>
      </c>
      <c r="L137" t="s">
        <v>304</v>
      </c>
      <c r="M137" t="s">
        <v>29</v>
      </c>
      <c r="N137" t="s">
        <v>30</v>
      </c>
      <c r="O137">
        <v>18</v>
      </c>
      <c r="P137" t="s">
        <v>12</v>
      </c>
      <c r="Q137" t="s">
        <v>308</v>
      </c>
      <c r="R137" t="s">
        <v>309</v>
      </c>
      <c r="S137" t="s">
        <v>187</v>
      </c>
      <c r="T137" t="s">
        <v>35</v>
      </c>
      <c r="U137">
        <v>2</v>
      </c>
      <c r="V137">
        <v>31</v>
      </c>
      <c r="W137">
        <v>77.5</v>
      </c>
      <c r="X137">
        <v>5</v>
      </c>
      <c r="Y137">
        <v>147.25</v>
      </c>
      <c r="Z137">
        <v>85.25</v>
      </c>
      <c r="AA137" t="s">
        <v>69</v>
      </c>
      <c r="AB137" t="s">
        <v>44</v>
      </c>
      <c r="AC137">
        <v>4</v>
      </c>
      <c r="AD137" t="s">
        <v>19</v>
      </c>
      <c r="AE137" t="s">
        <v>20</v>
      </c>
      <c r="AF137" t="str">
        <f t="shared" si="5"/>
        <v>Yes</v>
      </c>
    </row>
    <row r="138" spans="1:32" x14ac:dyDescent="0.3">
      <c r="A138" t="s">
        <v>502</v>
      </c>
      <c r="B138" s="1">
        <v>45799</v>
      </c>
      <c r="C138" t="s">
        <v>388</v>
      </c>
      <c r="D138">
        <f t="shared" si="4"/>
        <v>19</v>
      </c>
      <c r="E138" t="s">
        <v>47</v>
      </c>
      <c r="F138" t="s">
        <v>48</v>
      </c>
      <c r="G138" t="s">
        <v>98</v>
      </c>
      <c r="H138" t="s">
        <v>24</v>
      </c>
      <c r="I138" t="s">
        <v>25</v>
      </c>
      <c r="J138" t="s">
        <v>26</v>
      </c>
      <c r="K138" t="s">
        <v>41</v>
      </c>
      <c r="L138" t="s">
        <v>503</v>
      </c>
      <c r="M138" t="s">
        <v>261</v>
      </c>
      <c r="N138" t="s">
        <v>30</v>
      </c>
      <c r="O138">
        <v>29</v>
      </c>
      <c r="P138" t="s">
        <v>12</v>
      </c>
      <c r="Q138" t="s">
        <v>155</v>
      </c>
      <c r="R138" t="s">
        <v>156</v>
      </c>
      <c r="S138" t="s">
        <v>34</v>
      </c>
      <c r="T138" t="s">
        <v>16</v>
      </c>
      <c r="U138">
        <v>1</v>
      </c>
      <c r="V138">
        <v>40</v>
      </c>
      <c r="W138">
        <v>100</v>
      </c>
      <c r="X138">
        <v>10</v>
      </c>
      <c r="Y138">
        <v>90</v>
      </c>
      <c r="Z138">
        <v>50</v>
      </c>
      <c r="AA138" t="s">
        <v>179</v>
      </c>
      <c r="AB138" t="s">
        <v>129</v>
      </c>
      <c r="AC138">
        <v>4</v>
      </c>
      <c r="AD138" t="s">
        <v>105</v>
      </c>
      <c r="AE138" t="s">
        <v>20</v>
      </c>
      <c r="AF138" t="str">
        <f t="shared" si="5"/>
        <v>Yes</v>
      </c>
    </row>
    <row r="139" spans="1:32" x14ac:dyDescent="0.3">
      <c r="A139" t="s">
        <v>504</v>
      </c>
      <c r="B139" s="1">
        <v>45754</v>
      </c>
      <c r="C139" t="s">
        <v>97</v>
      </c>
      <c r="D139">
        <f t="shared" si="4"/>
        <v>7</v>
      </c>
      <c r="E139" t="s">
        <v>60</v>
      </c>
      <c r="F139" t="s">
        <v>48</v>
      </c>
      <c r="G139" t="s">
        <v>23</v>
      </c>
      <c r="H139" t="s">
        <v>122</v>
      </c>
      <c r="I139" t="s">
        <v>123</v>
      </c>
      <c r="J139" t="s">
        <v>7</v>
      </c>
      <c r="K139" t="s">
        <v>167</v>
      </c>
      <c r="L139" t="s">
        <v>505</v>
      </c>
      <c r="M139" t="s">
        <v>10</v>
      </c>
      <c r="N139" t="s">
        <v>11</v>
      </c>
      <c r="O139">
        <v>45</v>
      </c>
      <c r="P139" t="s">
        <v>76</v>
      </c>
      <c r="Q139" t="s">
        <v>506</v>
      </c>
      <c r="R139" t="s">
        <v>507</v>
      </c>
      <c r="S139" t="s">
        <v>118</v>
      </c>
      <c r="T139" t="s">
        <v>16</v>
      </c>
      <c r="U139">
        <v>1</v>
      </c>
      <c r="V139">
        <v>39</v>
      </c>
      <c r="W139">
        <v>109.2</v>
      </c>
      <c r="X139">
        <v>0</v>
      </c>
      <c r="Y139">
        <v>109.2</v>
      </c>
      <c r="Z139">
        <v>70.2</v>
      </c>
      <c r="AA139" t="s">
        <v>69</v>
      </c>
      <c r="AB139" t="s">
        <v>18</v>
      </c>
      <c r="AC139">
        <v>3</v>
      </c>
      <c r="AD139" t="s">
        <v>19</v>
      </c>
      <c r="AE139" t="s">
        <v>20</v>
      </c>
      <c r="AF139" t="str">
        <f t="shared" si="5"/>
        <v>Yes</v>
      </c>
    </row>
    <row r="140" spans="1:32" x14ac:dyDescent="0.3">
      <c r="A140" t="s">
        <v>508</v>
      </c>
      <c r="B140" s="1">
        <v>45781</v>
      </c>
      <c r="C140" t="s">
        <v>417</v>
      </c>
      <c r="D140">
        <f t="shared" si="4"/>
        <v>16</v>
      </c>
      <c r="E140" t="s">
        <v>47</v>
      </c>
      <c r="F140" t="s">
        <v>48</v>
      </c>
      <c r="G140" t="s">
        <v>4</v>
      </c>
      <c r="H140" t="s">
        <v>122</v>
      </c>
      <c r="I140" t="s">
        <v>123</v>
      </c>
      <c r="J140" t="s">
        <v>7</v>
      </c>
      <c r="K140" t="s">
        <v>51</v>
      </c>
      <c r="L140" t="s">
        <v>509</v>
      </c>
      <c r="M140" t="s">
        <v>140</v>
      </c>
      <c r="N140" t="s">
        <v>30</v>
      </c>
      <c r="O140">
        <v>36</v>
      </c>
      <c r="P140" t="s">
        <v>12</v>
      </c>
      <c r="Q140" t="s">
        <v>147</v>
      </c>
      <c r="R140" t="s">
        <v>148</v>
      </c>
      <c r="S140" t="s">
        <v>136</v>
      </c>
      <c r="T140" t="s">
        <v>35</v>
      </c>
      <c r="U140">
        <v>4</v>
      </c>
      <c r="V140">
        <v>58</v>
      </c>
      <c r="W140">
        <v>174</v>
      </c>
      <c r="X140">
        <v>10</v>
      </c>
      <c r="Y140">
        <v>626.4</v>
      </c>
      <c r="Z140">
        <v>394.4</v>
      </c>
      <c r="AA140" t="s">
        <v>69</v>
      </c>
      <c r="AB140" t="s">
        <v>18</v>
      </c>
      <c r="AC140">
        <v>5</v>
      </c>
      <c r="AD140" t="s">
        <v>105</v>
      </c>
      <c r="AE140" t="s">
        <v>20</v>
      </c>
      <c r="AF140" t="str">
        <f t="shared" si="5"/>
        <v>Yes</v>
      </c>
    </row>
    <row r="141" spans="1:32" x14ac:dyDescent="0.3">
      <c r="A141" t="s">
        <v>510</v>
      </c>
      <c r="B141" s="1">
        <v>45825</v>
      </c>
      <c r="C141" t="s">
        <v>199</v>
      </c>
      <c r="D141">
        <f t="shared" si="4"/>
        <v>10</v>
      </c>
      <c r="E141" t="s">
        <v>131</v>
      </c>
      <c r="F141" t="s">
        <v>48</v>
      </c>
      <c r="G141" t="s">
        <v>181</v>
      </c>
      <c r="H141" t="s">
        <v>5</v>
      </c>
      <c r="I141" t="s">
        <v>6</v>
      </c>
      <c r="J141" t="s">
        <v>7</v>
      </c>
      <c r="K141" t="s">
        <v>323</v>
      </c>
      <c r="L141" t="s">
        <v>397</v>
      </c>
      <c r="M141" t="s">
        <v>140</v>
      </c>
      <c r="N141" t="s">
        <v>30</v>
      </c>
      <c r="O141">
        <v>49</v>
      </c>
      <c r="P141" t="s">
        <v>91</v>
      </c>
      <c r="Q141" t="s">
        <v>109</v>
      </c>
      <c r="R141" t="s">
        <v>110</v>
      </c>
      <c r="S141" t="s">
        <v>111</v>
      </c>
      <c r="T141" t="s">
        <v>16</v>
      </c>
      <c r="U141">
        <v>1</v>
      </c>
      <c r="V141">
        <v>83</v>
      </c>
      <c r="W141">
        <v>182.6</v>
      </c>
      <c r="X141">
        <v>0</v>
      </c>
      <c r="Y141">
        <v>182.6</v>
      </c>
      <c r="Z141">
        <v>99.6</v>
      </c>
      <c r="AA141" t="s">
        <v>69</v>
      </c>
      <c r="AB141" t="s">
        <v>129</v>
      </c>
      <c r="AC141">
        <v>4</v>
      </c>
      <c r="AD141" t="s">
        <v>19</v>
      </c>
      <c r="AE141" t="s">
        <v>20</v>
      </c>
      <c r="AF141" t="str">
        <f t="shared" si="5"/>
        <v>Yes</v>
      </c>
    </row>
    <row r="142" spans="1:32" x14ac:dyDescent="0.3">
      <c r="A142" t="s">
        <v>511</v>
      </c>
      <c r="B142" s="1">
        <v>45663</v>
      </c>
      <c r="C142" t="s">
        <v>97</v>
      </c>
      <c r="D142">
        <f t="shared" si="4"/>
        <v>7</v>
      </c>
      <c r="E142" t="s">
        <v>2</v>
      </c>
      <c r="F142" t="s">
        <v>3</v>
      </c>
      <c r="G142" t="s">
        <v>23</v>
      </c>
      <c r="H142" t="s">
        <v>122</v>
      </c>
      <c r="I142" t="s">
        <v>123</v>
      </c>
      <c r="J142" t="s">
        <v>7</v>
      </c>
      <c r="K142" t="s">
        <v>83</v>
      </c>
      <c r="L142" t="s">
        <v>512</v>
      </c>
      <c r="M142" t="s">
        <v>169</v>
      </c>
      <c r="N142" t="s">
        <v>11</v>
      </c>
      <c r="O142">
        <v>37</v>
      </c>
      <c r="P142" t="s">
        <v>91</v>
      </c>
      <c r="Q142" t="s">
        <v>77</v>
      </c>
      <c r="R142" t="s">
        <v>78</v>
      </c>
      <c r="S142" t="s">
        <v>68</v>
      </c>
      <c r="T142" t="s">
        <v>16</v>
      </c>
      <c r="U142">
        <v>4</v>
      </c>
      <c r="V142">
        <v>35</v>
      </c>
      <c r="W142">
        <v>105</v>
      </c>
      <c r="X142">
        <v>15</v>
      </c>
      <c r="Y142">
        <v>357</v>
      </c>
      <c r="Z142">
        <v>217</v>
      </c>
      <c r="AA142" t="s">
        <v>69</v>
      </c>
      <c r="AB142" t="s">
        <v>18</v>
      </c>
      <c r="AC142">
        <v>4</v>
      </c>
      <c r="AD142" t="s">
        <v>19</v>
      </c>
      <c r="AE142" t="s">
        <v>20</v>
      </c>
      <c r="AF142" t="str">
        <f t="shared" si="5"/>
        <v>Yes</v>
      </c>
    </row>
    <row r="143" spans="1:32" x14ac:dyDescent="0.3">
      <c r="A143" t="s">
        <v>513</v>
      </c>
      <c r="B143" s="1">
        <v>45702</v>
      </c>
      <c r="C143" t="s">
        <v>250</v>
      </c>
      <c r="D143">
        <f t="shared" si="4"/>
        <v>13</v>
      </c>
      <c r="E143" t="s">
        <v>145</v>
      </c>
      <c r="F143" t="s">
        <v>3</v>
      </c>
      <c r="G143" t="s">
        <v>40</v>
      </c>
      <c r="H143" t="s">
        <v>49</v>
      </c>
      <c r="I143" t="s">
        <v>50</v>
      </c>
      <c r="J143" t="s">
        <v>7</v>
      </c>
      <c r="K143" t="s">
        <v>27</v>
      </c>
      <c r="L143" t="s">
        <v>514</v>
      </c>
      <c r="M143" t="s">
        <v>261</v>
      </c>
      <c r="N143" t="s">
        <v>30</v>
      </c>
      <c r="O143">
        <v>46</v>
      </c>
      <c r="P143" t="s">
        <v>31</v>
      </c>
      <c r="Q143" t="s">
        <v>77</v>
      </c>
      <c r="R143" t="s">
        <v>78</v>
      </c>
      <c r="S143" t="s">
        <v>68</v>
      </c>
      <c r="T143" t="s">
        <v>16</v>
      </c>
      <c r="U143">
        <v>1</v>
      </c>
      <c r="V143">
        <v>35</v>
      </c>
      <c r="W143">
        <v>105</v>
      </c>
      <c r="X143">
        <v>10</v>
      </c>
      <c r="Y143">
        <v>94.5</v>
      </c>
      <c r="Z143">
        <v>59.5</v>
      </c>
      <c r="AA143" t="s">
        <v>43</v>
      </c>
      <c r="AB143" t="s">
        <v>129</v>
      </c>
      <c r="AC143">
        <v>4</v>
      </c>
      <c r="AD143" t="s">
        <v>19</v>
      </c>
      <c r="AE143" t="s">
        <v>95</v>
      </c>
      <c r="AF143" t="str">
        <f t="shared" si="5"/>
        <v>No</v>
      </c>
    </row>
    <row r="144" spans="1:32" x14ac:dyDescent="0.3">
      <c r="A144" t="s">
        <v>515</v>
      </c>
      <c r="B144" s="1">
        <v>45701</v>
      </c>
      <c r="C144" t="s">
        <v>516</v>
      </c>
      <c r="D144">
        <f t="shared" si="4"/>
        <v>16</v>
      </c>
      <c r="E144" t="s">
        <v>145</v>
      </c>
      <c r="F144" t="s">
        <v>3</v>
      </c>
      <c r="G144" t="s">
        <v>98</v>
      </c>
      <c r="H144" t="s">
        <v>81</v>
      </c>
      <c r="I144" t="s">
        <v>82</v>
      </c>
      <c r="J144" t="s">
        <v>7</v>
      </c>
      <c r="K144" t="s">
        <v>270</v>
      </c>
      <c r="L144" t="s">
        <v>517</v>
      </c>
      <c r="M144" t="s">
        <v>10</v>
      </c>
      <c r="N144" t="s">
        <v>11</v>
      </c>
      <c r="O144">
        <v>54</v>
      </c>
      <c r="P144" t="s">
        <v>76</v>
      </c>
      <c r="Q144" t="s">
        <v>518</v>
      </c>
      <c r="R144" t="s">
        <v>519</v>
      </c>
      <c r="S144" t="s">
        <v>242</v>
      </c>
      <c r="T144" t="s">
        <v>35</v>
      </c>
      <c r="U144">
        <v>1</v>
      </c>
      <c r="V144">
        <v>88</v>
      </c>
      <c r="W144">
        <v>193.6</v>
      </c>
      <c r="X144">
        <v>15</v>
      </c>
      <c r="Y144">
        <v>164.56</v>
      </c>
      <c r="Z144">
        <v>76.56</v>
      </c>
      <c r="AA144" t="s">
        <v>17</v>
      </c>
      <c r="AB144" t="s">
        <v>87</v>
      </c>
      <c r="AC144">
        <v>5</v>
      </c>
      <c r="AD144" t="s">
        <v>105</v>
      </c>
      <c r="AE144" t="s">
        <v>20</v>
      </c>
      <c r="AF144" t="str">
        <f t="shared" si="5"/>
        <v>Yes</v>
      </c>
    </row>
    <row r="145" spans="1:32" x14ac:dyDescent="0.3">
      <c r="A145" t="s">
        <v>520</v>
      </c>
      <c r="B145" s="1">
        <v>45752</v>
      </c>
      <c r="C145" t="s">
        <v>414</v>
      </c>
      <c r="D145">
        <f t="shared" si="4"/>
        <v>17</v>
      </c>
      <c r="E145" t="s">
        <v>60</v>
      </c>
      <c r="F145" t="s">
        <v>48</v>
      </c>
      <c r="G145" t="s">
        <v>132</v>
      </c>
      <c r="H145" t="s">
        <v>5</v>
      </c>
      <c r="I145" t="s">
        <v>6</v>
      </c>
      <c r="J145" t="s">
        <v>7</v>
      </c>
      <c r="K145" t="s">
        <v>8</v>
      </c>
      <c r="L145" t="s">
        <v>521</v>
      </c>
      <c r="M145" t="s">
        <v>53</v>
      </c>
      <c r="N145" t="s">
        <v>11</v>
      </c>
      <c r="O145">
        <v>37</v>
      </c>
      <c r="P145" t="s">
        <v>91</v>
      </c>
      <c r="Q145" t="s">
        <v>226</v>
      </c>
      <c r="R145" t="s">
        <v>227</v>
      </c>
      <c r="S145" t="s">
        <v>68</v>
      </c>
      <c r="T145" t="s">
        <v>35</v>
      </c>
      <c r="U145">
        <v>4</v>
      </c>
      <c r="V145">
        <v>43</v>
      </c>
      <c r="W145">
        <v>94.6</v>
      </c>
      <c r="X145">
        <v>0</v>
      </c>
      <c r="Y145">
        <v>378.4</v>
      </c>
      <c r="Z145">
        <v>206.4</v>
      </c>
      <c r="AA145" t="s">
        <v>36</v>
      </c>
      <c r="AB145" t="s">
        <v>119</v>
      </c>
      <c r="AC145">
        <v>3</v>
      </c>
      <c r="AD145" t="s">
        <v>105</v>
      </c>
      <c r="AE145" t="s">
        <v>20</v>
      </c>
      <c r="AF145" t="str">
        <f t="shared" si="5"/>
        <v>Yes</v>
      </c>
    </row>
    <row r="146" spans="1:32" x14ac:dyDescent="0.3">
      <c r="A146" t="s">
        <v>522</v>
      </c>
      <c r="B146" s="1">
        <v>45730</v>
      </c>
      <c r="C146" t="s">
        <v>283</v>
      </c>
      <c r="D146">
        <f t="shared" si="4"/>
        <v>14</v>
      </c>
      <c r="E146" t="s">
        <v>72</v>
      </c>
      <c r="F146" t="s">
        <v>3</v>
      </c>
      <c r="G146" t="s">
        <v>40</v>
      </c>
      <c r="H146" t="s">
        <v>49</v>
      </c>
      <c r="I146" t="s">
        <v>50</v>
      </c>
      <c r="J146" t="s">
        <v>7</v>
      </c>
      <c r="K146" t="s">
        <v>167</v>
      </c>
      <c r="L146" t="s">
        <v>523</v>
      </c>
      <c r="M146" t="s">
        <v>65</v>
      </c>
      <c r="N146" t="s">
        <v>30</v>
      </c>
      <c r="O146">
        <v>64</v>
      </c>
      <c r="P146" t="s">
        <v>76</v>
      </c>
      <c r="Q146" t="s">
        <v>518</v>
      </c>
      <c r="R146" t="s">
        <v>519</v>
      </c>
      <c r="S146" t="s">
        <v>242</v>
      </c>
      <c r="T146" t="s">
        <v>35</v>
      </c>
      <c r="U146">
        <v>2</v>
      </c>
      <c r="V146">
        <v>88</v>
      </c>
      <c r="W146">
        <v>193.6</v>
      </c>
      <c r="X146">
        <v>10</v>
      </c>
      <c r="Y146">
        <v>348.48</v>
      </c>
      <c r="Z146">
        <v>172.48</v>
      </c>
      <c r="AA146" t="s">
        <v>69</v>
      </c>
      <c r="AB146" t="s">
        <v>37</v>
      </c>
      <c r="AC146">
        <v>4</v>
      </c>
      <c r="AD146" t="s">
        <v>19</v>
      </c>
      <c r="AE146" t="s">
        <v>20</v>
      </c>
      <c r="AF146" t="str">
        <f t="shared" si="5"/>
        <v>Yes</v>
      </c>
    </row>
    <row r="147" spans="1:32" x14ac:dyDescent="0.3">
      <c r="A147" t="s">
        <v>524</v>
      </c>
      <c r="B147" s="1">
        <v>45675</v>
      </c>
      <c r="C147" t="s">
        <v>80</v>
      </c>
      <c r="D147">
        <f t="shared" si="4"/>
        <v>10</v>
      </c>
      <c r="E147" t="s">
        <v>2</v>
      </c>
      <c r="F147" t="s">
        <v>3</v>
      </c>
      <c r="G147" t="s">
        <v>132</v>
      </c>
      <c r="H147" t="s">
        <v>159</v>
      </c>
      <c r="I147" t="s">
        <v>160</v>
      </c>
      <c r="J147" t="s">
        <v>161</v>
      </c>
      <c r="K147" t="s">
        <v>229</v>
      </c>
      <c r="L147" t="s">
        <v>405</v>
      </c>
      <c r="M147" t="s">
        <v>29</v>
      </c>
      <c r="N147" t="s">
        <v>30</v>
      </c>
      <c r="O147">
        <v>35</v>
      </c>
      <c r="P147" t="s">
        <v>12</v>
      </c>
      <c r="Q147" t="s">
        <v>262</v>
      </c>
      <c r="R147" t="s">
        <v>263</v>
      </c>
      <c r="S147" t="s">
        <v>218</v>
      </c>
      <c r="T147" t="s">
        <v>35</v>
      </c>
      <c r="U147">
        <v>4</v>
      </c>
      <c r="V147">
        <v>40</v>
      </c>
      <c r="W147">
        <v>112</v>
      </c>
      <c r="X147">
        <v>0</v>
      </c>
      <c r="Y147">
        <v>448</v>
      </c>
      <c r="Z147">
        <v>288</v>
      </c>
      <c r="AA147" t="s">
        <v>17</v>
      </c>
      <c r="AB147" t="s">
        <v>18</v>
      </c>
      <c r="AC147">
        <v>4</v>
      </c>
      <c r="AD147" t="s">
        <v>105</v>
      </c>
      <c r="AE147" t="s">
        <v>20</v>
      </c>
      <c r="AF147" t="str">
        <f t="shared" si="5"/>
        <v>Yes</v>
      </c>
    </row>
    <row r="148" spans="1:32" x14ac:dyDescent="0.3">
      <c r="A148" t="s">
        <v>525</v>
      </c>
      <c r="B148" s="1">
        <v>45666</v>
      </c>
      <c r="C148" t="s">
        <v>80</v>
      </c>
      <c r="D148">
        <f t="shared" si="4"/>
        <v>10</v>
      </c>
      <c r="E148" t="s">
        <v>2</v>
      </c>
      <c r="F148" t="s">
        <v>3</v>
      </c>
      <c r="G148" t="s">
        <v>98</v>
      </c>
      <c r="H148" t="s">
        <v>99</v>
      </c>
      <c r="I148" t="s">
        <v>100</v>
      </c>
      <c r="J148" t="s">
        <v>101</v>
      </c>
      <c r="K148" t="s">
        <v>83</v>
      </c>
      <c r="L148" t="s">
        <v>526</v>
      </c>
      <c r="M148" t="s">
        <v>225</v>
      </c>
      <c r="N148" t="s">
        <v>30</v>
      </c>
      <c r="O148">
        <v>60</v>
      </c>
      <c r="P148" t="s">
        <v>12</v>
      </c>
      <c r="Q148" t="s">
        <v>185</v>
      </c>
      <c r="R148" t="s">
        <v>186</v>
      </c>
      <c r="S148" t="s">
        <v>187</v>
      </c>
      <c r="T148" t="s">
        <v>35</v>
      </c>
      <c r="U148">
        <v>4</v>
      </c>
      <c r="V148">
        <v>57</v>
      </c>
      <c r="W148">
        <v>159.6</v>
      </c>
      <c r="X148">
        <v>15</v>
      </c>
      <c r="Y148">
        <v>542.64</v>
      </c>
      <c r="Z148">
        <v>314.64</v>
      </c>
      <c r="AA148" t="s">
        <v>69</v>
      </c>
      <c r="AB148" t="s">
        <v>44</v>
      </c>
      <c r="AC148">
        <v>3</v>
      </c>
      <c r="AD148" t="s">
        <v>19</v>
      </c>
      <c r="AE148" t="s">
        <v>20</v>
      </c>
      <c r="AF148" t="str">
        <f t="shared" si="5"/>
        <v>Yes</v>
      </c>
    </row>
    <row r="149" spans="1:32" x14ac:dyDescent="0.3">
      <c r="A149" t="s">
        <v>527</v>
      </c>
      <c r="B149" s="1">
        <v>45766</v>
      </c>
      <c r="C149" t="s">
        <v>39</v>
      </c>
      <c r="D149">
        <f t="shared" si="4"/>
        <v>18</v>
      </c>
      <c r="E149" t="s">
        <v>60</v>
      </c>
      <c r="F149" t="s">
        <v>48</v>
      </c>
      <c r="G149" t="s">
        <v>132</v>
      </c>
      <c r="H149" t="s">
        <v>122</v>
      </c>
      <c r="I149" t="s">
        <v>123</v>
      </c>
      <c r="J149" t="s">
        <v>7</v>
      </c>
      <c r="K149" t="s">
        <v>51</v>
      </c>
      <c r="L149" t="s">
        <v>528</v>
      </c>
      <c r="M149" t="s">
        <v>140</v>
      </c>
      <c r="N149" t="s">
        <v>30</v>
      </c>
      <c r="O149">
        <v>31</v>
      </c>
      <c r="P149" t="s">
        <v>31</v>
      </c>
      <c r="Q149" t="s">
        <v>272</v>
      </c>
      <c r="R149" t="s">
        <v>273</v>
      </c>
      <c r="S149" t="s">
        <v>57</v>
      </c>
      <c r="T149" t="s">
        <v>16</v>
      </c>
      <c r="U149">
        <v>1</v>
      </c>
      <c r="V149">
        <v>55</v>
      </c>
      <c r="W149">
        <v>154</v>
      </c>
      <c r="X149">
        <v>10</v>
      </c>
      <c r="Y149">
        <v>138.6</v>
      </c>
      <c r="Z149">
        <v>83.6</v>
      </c>
      <c r="AA149" t="s">
        <v>17</v>
      </c>
      <c r="AB149" t="s">
        <v>129</v>
      </c>
      <c r="AC149">
        <v>3</v>
      </c>
      <c r="AD149" t="s">
        <v>105</v>
      </c>
      <c r="AE149" t="s">
        <v>20</v>
      </c>
      <c r="AF149" t="str">
        <f t="shared" si="5"/>
        <v>Yes</v>
      </c>
    </row>
    <row r="150" spans="1:32" x14ac:dyDescent="0.3">
      <c r="A150" t="s">
        <v>529</v>
      </c>
      <c r="B150" s="1">
        <v>45825</v>
      </c>
      <c r="C150" t="s">
        <v>80</v>
      </c>
      <c r="D150">
        <f t="shared" si="4"/>
        <v>10</v>
      </c>
      <c r="E150" t="s">
        <v>131</v>
      </c>
      <c r="F150" t="s">
        <v>48</v>
      </c>
      <c r="G150" t="s">
        <v>181</v>
      </c>
      <c r="H150" t="s">
        <v>5</v>
      </c>
      <c r="I150" t="s">
        <v>6</v>
      </c>
      <c r="J150" t="s">
        <v>7</v>
      </c>
      <c r="K150" t="s">
        <v>311</v>
      </c>
      <c r="L150" t="s">
        <v>530</v>
      </c>
      <c r="M150" t="s">
        <v>65</v>
      </c>
      <c r="N150" t="s">
        <v>30</v>
      </c>
      <c r="O150">
        <v>41</v>
      </c>
      <c r="P150" t="s">
        <v>12</v>
      </c>
      <c r="Q150" t="s">
        <v>66</v>
      </c>
      <c r="R150" t="s">
        <v>67</v>
      </c>
      <c r="S150" t="s">
        <v>68</v>
      </c>
      <c r="T150" t="s">
        <v>16</v>
      </c>
      <c r="U150">
        <v>3</v>
      </c>
      <c r="V150">
        <v>43</v>
      </c>
      <c r="W150">
        <v>120.4</v>
      </c>
      <c r="X150">
        <v>5</v>
      </c>
      <c r="Y150">
        <v>343.14</v>
      </c>
      <c r="Z150">
        <v>214.14</v>
      </c>
      <c r="AA150" t="s">
        <v>36</v>
      </c>
      <c r="AB150" t="s">
        <v>119</v>
      </c>
      <c r="AC150">
        <v>3</v>
      </c>
      <c r="AD150" t="s">
        <v>105</v>
      </c>
      <c r="AE150" t="s">
        <v>20</v>
      </c>
      <c r="AF150" t="str">
        <f t="shared" si="5"/>
        <v>Yes</v>
      </c>
    </row>
    <row r="151" spans="1:32" x14ac:dyDescent="0.3">
      <c r="A151" t="s">
        <v>531</v>
      </c>
      <c r="B151" s="1">
        <v>45802</v>
      </c>
      <c r="C151" t="s">
        <v>435</v>
      </c>
      <c r="D151">
        <f t="shared" si="4"/>
        <v>13</v>
      </c>
      <c r="E151" t="s">
        <v>47</v>
      </c>
      <c r="F151" t="s">
        <v>48</v>
      </c>
      <c r="G151" t="s">
        <v>4</v>
      </c>
      <c r="H151" t="s">
        <v>99</v>
      </c>
      <c r="I151" t="s">
        <v>100</v>
      </c>
      <c r="J151" t="s">
        <v>101</v>
      </c>
      <c r="K151" t="s">
        <v>167</v>
      </c>
      <c r="L151" t="s">
        <v>532</v>
      </c>
      <c r="M151" t="s">
        <v>225</v>
      </c>
      <c r="N151" t="s">
        <v>11</v>
      </c>
      <c r="O151">
        <v>47</v>
      </c>
      <c r="P151" t="s">
        <v>12</v>
      </c>
      <c r="Q151" t="s">
        <v>374</v>
      </c>
      <c r="R151" t="s">
        <v>375</v>
      </c>
      <c r="S151" t="s">
        <v>57</v>
      </c>
      <c r="T151" t="s">
        <v>16</v>
      </c>
      <c r="U151">
        <v>4</v>
      </c>
      <c r="V151">
        <v>80</v>
      </c>
      <c r="W151">
        <v>200</v>
      </c>
      <c r="X151">
        <v>10</v>
      </c>
      <c r="Y151">
        <v>720</v>
      </c>
      <c r="Z151">
        <v>400</v>
      </c>
      <c r="AA151" t="s">
        <v>69</v>
      </c>
      <c r="AB151" t="s">
        <v>18</v>
      </c>
      <c r="AD151" t="s">
        <v>105</v>
      </c>
      <c r="AE151" t="s">
        <v>20</v>
      </c>
      <c r="AF151" t="str">
        <f t="shared" si="5"/>
        <v>Yes</v>
      </c>
    </row>
    <row r="152" spans="1:32" x14ac:dyDescent="0.3">
      <c r="A152" t="s">
        <v>533</v>
      </c>
      <c r="B152" s="1">
        <v>45825</v>
      </c>
      <c r="C152" t="s">
        <v>396</v>
      </c>
      <c r="D152">
        <f t="shared" si="4"/>
        <v>16</v>
      </c>
      <c r="E152" t="s">
        <v>131</v>
      </c>
      <c r="F152" t="s">
        <v>48</v>
      </c>
      <c r="G152" t="s">
        <v>181</v>
      </c>
      <c r="H152" t="s">
        <v>5</v>
      </c>
      <c r="I152" t="s">
        <v>6</v>
      </c>
      <c r="J152" t="s">
        <v>7</v>
      </c>
      <c r="K152" t="s">
        <v>311</v>
      </c>
      <c r="L152" t="s">
        <v>222</v>
      </c>
      <c r="M152" t="s">
        <v>261</v>
      </c>
      <c r="N152" t="s">
        <v>30</v>
      </c>
      <c r="O152">
        <v>42</v>
      </c>
      <c r="P152" t="s">
        <v>91</v>
      </c>
      <c r="Q152" t="s">
        <v>126</v>
      </c>
      <c r="R152" t="s">
        <v>127</v>
      </c>
      <c r="S152" t="s">
        <v>128</v>
      </c>
      <c r="T152" t="s">
        <v>35</v>
      </c>
      <c r="U152">
        <v>3</v>
      </c>
      <c r="V152">
        <v>69</v>
      </c>
      <c r="W152">
        <v>193.2</v>
      </c>
      <c r="X152">
        <v>5</v>
      </c>
      <c r="Y152">
        <v>550.62</v>
      </c>
      <c r="Z152">
        <v>343.62</v>
      </c>
      <c r="AA152" t="s">
        <v>17</v>
      </c>
      <c r="AB152" t="s">
        <v>119</v>
      </c>
      <c r="AC152">
        <v>5</v>
      </c>
      <c r="AD152" t="s">
        <v>19</v>
      </c>
      <c r="AE152" t="s">
        <v>20</v>
      </c>
      <c r="AF152" t="str">
        <f t="shared" si="5"/>
        <v>Yes</v>
      </c>
    </row>
    <row r="153" spans="1:32" x14ac:dyDescent="0.3">
      <c r="A153" t="s">
        <v>534</v>
      </c>
      <c r="B153" s="1">
        <v>45778</v>
      </c>
      <c r="C153" t="s">
        <v>250</v>
      </c>
      <c r="D153">
        <f t="shared" si="4"/>
        <v>13</v>
      </c>
      <c r="E153" t="s">
        <v>47</v>
      </c>
      <c r="F153" t="s">
        <v>48</v>
      </c>
      <c r="G153" t="s">
        <v>98</v>
      </c>
      <c r="H153" t="s">
        <v>81</v>
      </c>
      <c r="I153" t="s">
        <v>82</v>
      </c>
      <c r="J153" t="s">
        <v>7</v>
      </c>
      <c r="K153" t="s">
        <v>229</v>
      </c>
      <c r="L153" t="s">
        <v>535</v>
      </c>
      <c r="M153" t="s">
        <v>169</v>
      </c>
      <c r="N153" t="s">
        <v>11</v>
      </c>
      <c r="O153">
        <v>55</v>
      </c>
      <c r="P153" t="s">
        <v>54</v>
      </c>
      <c r="Q153" t="s">
        <v>370</v>
      </c>
      <c r="R153" t="s">
        <v>371</v>
      </c>
      <c r="S153" t="s">
        <v>111</v>
      </c>
      <c r="T153" t="s">
        <v>35</v>
      </c>
      <c r="U153">
        <v>4</v>
      </c>
      <c r="V153">
        <v>99</v>
      </c>
      <c r="W153">
        <v>247.5</v>
      </c>
      <c r="X153">
        <v>10</v>
      </c>
      <c r="Y153">
        <v>891</v>
      </c>
      <c r="Z153">
        <v>495</v>
      </c>
      <c r="AA153" t="s">
        <v>36</v>
      </c>
      <c r="AB153" t="s">
        <v>87</v>
      </c>
      <c r="AC153">
        <v>4</v>
      </c>
      <c r="AD153" t="s">
        <v>105</v>
      </c>
      <c r="AE153" t="s">
        <v>20</v>
      </c>
      <c r="AF153" t="str">
        <f t="shared" si="5"/>
        <v>Yes</v>
      </c>
    </row>
    <row r="154" spans="1:32" x14ac:dyDescent="0.3">
      <c r="A154" t="s">
        <v>536</v>
      </c>
      <c r="B154" s="1">
        <v>45753</v>
      </c>
      <c r="C154" t="s">
        <v>537</v>
      </c>
      <c r="D154">
        <f t="shared" si="4"/>
        <v>8</v>
      </c>
      <c r="E154" t="s">
        <v>60</v>
      </c>
      <c r="F154" t="s">
        <v>48</v>
      </c>
      <c r="G154" t="s">
        <v>4</v>
      </c>
      <c r="H154" t="s">
        <v>49</v>
      </c>
      <c r="I154" t="s">
        <v>50</v>
      </c>
      <c r="J154" t="s">
        <v>7</v>
      </c>
      <c r="K154" t="s">
        <v>51</v>
      </c>
      <c r="L154" t="s">
        <v>538</v>
      </c>
      <c r="M154" t="s">
        <v>225</v>
      </c>
      <c r="N154" t="s">
        <v>11</v>
      </c>
      <c r="O154">
        <v>54</v>
      </c>
      <c r="P154" t="s">
        <v>91</v>
      </c>
      <c r="Q154" t="s">
        <v>211</v>
      </c>
      <c r="R154" t="s">
        <v>212</v>
      </c>
      <c r="S154" t="s">
        <v>128</v>
      </c>
      <c r="T154" t="s">
        <v>16</v>
      </c>
      <c r="U154">
        <v>1</v>
      </c>
      <c r="V154">
        <v>50</v>
      </c>
      <c r="W154">
        <v>140</v>
      </c>
      <c r="X154">
        <v>15</v>
      </c>
      <c r="Y154">
        <v>119</v>
      </c>
      <c r="Z154">
        <v>69</v>
      </c>
      <c r="AA154" t="s">
        <v>17</v>
      </c>
      <c r="AB154" t="s">
        <v>119</v>
      </c>
      <c r="AC154">
        <v>5</v>
      </c>
      <c r="AD154" t="s">
        <v>105</v>
      </c>
      <c r="AE154" t="s">
        <v>20</v>
      </c>
      <c r="AF154" t="str">
        <f t="shared" si="5"/>
        <v>Yes</v>
      </c>
    </row>
    <row r="155" spans="1:32" x14ac:dyDescent="0.3">
      <c r="A155" t="s">
        <v>539</v>
      </c>
      <c r="B155" s="1">
        <v>45667</v>
      </c>
      <c r="C155" t="s">
        <v>276</v>
      </c>
      <c r="D155">
        <f t="shared" si="4"/>
        <v>13</v>
      </c>
      <c r="E155" t="s">
        <v>2</v>
      </c>
      <c r="F155" t="s">
        <v>3</v>
      </c>
      <c r="G155" t="s">
        <v>40</v>
      </c>
      <c r="H155" t="s">
        <v>164</v>
      </c>
      <c r="I155" t="s">
        <v>165</v>
      </c>
      <c r="J155" t="s">
        <v>166</v>
      </c>
      <c r="K155" t="s">
        <v>182</v>
      </c>
      <c r="L155" t="s">
        <v>251</v>
      </c>
      <c r="M155" t="s">
        <v>162</v>
      </c>
      <c r="N155" t="s">
        <v>30</v>
      </c>
      <c r="O155">
        <v>58</v>
      </c>
      <c r="P155" t="s">
        <v>54</v>
      </c>
      <c r="Q155" t="s">
        <v>436</v>
      </c>
      <c r="R155" t="s">
        <v>437</v>
      </c>
      <c r="S155" t="s">
        <v>178</v>
      </c>
      <c r="T155" t="s">
        <v>35</v>
      </c>
      <c r="U155">
        <v>3</v>
      </c>
      <c r="V155">
        <v>66</v>
      </c>
      <c r="W155">
        <v>165</v>
      </c>
      <c r="X155">
        <v>10</v>
      </c>
      <c r="Y155">
        <v>445.5</v>
      </c>
      <c r="Z155">
        <v>247.5</v>
      </c>
      <c r="AA155" t="s">
        <v>179</v>
      </c>
      <c r="AB155" t="s">
        <v>87</v>
      </c>
      <c r="AD155" t="s">
        <v>19</v>
      </c>
      <c r="AE155" t="s">
        <v>95</v>
      </c>
      <c r="AF155" t="str">
        <f t="shared" si="5"/>
        <v>No</v>
      </c>
    </row>
    <row r="156" spans="1:32" x14ac:dyDescent="0.3">
      <c r="A156" t="s">
        <v>540</v>
      </c>
      <c r="B156" s="1">
        <v>45700</v>
      </c>
      <c r="C156" t="s">
        <v>265</v>
      </c>
      <c r="D156">
        <f t="shared" si="4"/>
        <v>7</v>
      </c>
      <c r="E156" t="s">
        <v>145</v>
      </c>
      <c r="F156" t="s">
        <v>3</v>
      </c>
      <c r="G156" t="s">
        <v>73</v>
      </c>
      <c r="H156" t="s">
        <v>61</v>
      </c>
      <c r="I156" t="s">
        <v>62</v>
      </c>
      <c r="J156" t="s">
        <v>7</v>
      </c>
      <c r="K156" t="s">
        <v>318</v>
      </c>
      <c r="L156" t="s">
        <v>541</v>
      </c>
      <c r="M156" t="s">
        <v>225</v>
      </c>
      <c r="N156" t="s">
        <v>30</v>
      </c>
      <c r="O156">
        <v>30</v>
      </c>
      <c r="P156" t="s">
        <v>54</v>
      </c>
      <c r="Q156" t="s">
        <v>147</v>
      </c>
      <c r="R156" t="s">
        <v>148</v>
      </c>
      <c r="S156" t="s">
        <v>136</v>
      </c>
      <c r="T156" t="s">
        <v>35</v>
      </c>
      <c r="U156">
        <v>4</v>
      </c>
      <c r="V156">
        <v>58</v>
      </c>
      <c r="W156">
        <v>174</v>
      </c>
      <c r="X156">
        <v>10</v>
      </c>
      <c r="Y156">
        <v>626.4</v>
      </c>
      <c r="Z156">
        <v>394.4</v>
      </c>
      <c r="AA156" t="s">
        <v>69</v>
      </c>
      <c r="AB156" t="s">
        <v>129</v>
      </c>
      <c r="AC156">
        <v>4</v>
      </c>
      <c r="AD156" t="s">
        <v>19</v>
      </c>
      <c r="AE156" t="s">
        <v>20</v>
      </c>
      <c r="AF156" t="str">
        <f t="shared" si="5"/>
        <v>Yes</v>
      </c>
    </row>
    <row r="157" spans="1:32" x14ac:dyDescent="0.3">
      <c r="A157" t="s">
        <v>542</v>
      </c>
      <c r="B157" s="1">
        <v>45697</v>
      </c>
      <c r="C157" t="s">
        <v>543</v>
      </c>
      <c r="D157">
        <f t="shared" si="4"/>
        <v>15</v>
      </c>
      <c r="E157" t="s">
        <v>145</v>
      </c>
      <c r="F157" t="s">
        <v>3</v>
      </c>
      <c r="G157" t="s">
        <v>4</v>
      </c>
      <c r="H157" t="s">
        <v>61</v>
      </c>
      <c r="I157" t="s">
        <v>62</v>
      </c>
      <c r="J157" t="s">
        <v>7</v>
      </c>
      <c r="K157" t="s">
        <v>167</v>
      </c>
      <c r="L157" t="s">
        <v>544</v>
      </c>
      <c r="M157" t="s">
        <v>10</v>
      </c>
      <c r="N157" t="s">
        <v>11</v>
      </c>
      <c r="O157">
        <v>51</v>
      </c>
      <c r="P157" t="s">
        <v>91</v>
      </c>
      <c r="Q157" t="s">
        <v>308</v>
      </c>
      <c r="R157" t="s">
        <v>309</v>
      </c>
      <c r="S157" t="s">
        <v>187</v>
      </c>
      <c r="T157" t="s">
        <v>35</v>
      </c>
      <c r="U157">
        <v>1</v>
      </c>
      <c r="V157">
        <v>31</v>
      </c>
      <c r="W157">
        <v>77.5</v>
      </c>
      <c r="X157">
        <v>0</v>
      </c>
      <c r="Y157">
        <v>77.5</v>
      </c>
      <c r="Z157">
        <v>46.5</v>
      </c>
      <c r="AA157" t="s">
        <v>36</v>
      </c>
      <c r="AB157" t="s">
        <v>18</v>
      </c>
      <c r="AC157">
        <v>4</v>
      </c>
      <c r="AD157" t="s">
        <v>19</v>
      </c>
      <c r="AE157" t="s">
        <v>20</v>
      </c>
      <c r="AF157" t="str">
        <f t="shared" si="5"/>
        <v>Yes</v>
      </c>
    </row>
    <row r="158" spans="1:32" x14ac:dyDescent="0.3">
      <c r="A158" t="s">
        <v>545</v>
      </c>
      <c r="B158" s="1">
        <v>45700</v>
      </c>
      <c r="C158" t="s">
        <v>546</v>
      </c>
      <c r="D158">
        <f t="shared" si="4"/>
        <v>21</v>
      </c>
      <c r="E158" t="s">
        <v>145</v>
      </c>
      <c r="F158" t="s">
        <v>3</v>
      </c>
      <c r="G158" t="s">
        <v>73</v>
      </c>
      <c r="H158" t="s">
        <v>150</v>
      </c>
      <c r="I158" t="s">
        <v>151</v>
      </c>
      <c r="J158" t="s">
        <v>152</v>
      </c>
      <c r="K158" t="s">
        <v>8</v>
      </c>
      <c r="L158" t="s">
        <v>547</v>
      </c>
      <c r="M158" t="s">
        <v>169</v>
      </c>
      <c r="N158" t="s">
        <v>11</v>
      </c>
      <c r="O158">
        <v>28</v>
      </c>
      <c r="P158" t="s">
        <v>54</v>
      </c>
      <c r="Q158" t="s">
        <v>252</v>
      </c>
      <c r="R158" t="s">
        <v>253</v>
      </c>
      <c r="S158" t="s">
        <v>178</v>
      </c>
      <c r="T158" t="s">
        <v>35</v>
      </c>
      <c r="U158">
        <v>3</v>
      </c>
      <c r="V158">
        <v>82</v>
      </c>
      <c r="W158">
        <v>205</v>
      </c>
      <c r="X158">
        <v>15</v>
      </c>
      <c r="Y158">
        <v>522.75</v>
      </c>
      <c r="Z158">
        <v>276.75</v>
      </c>
      <c r="AA158" t="s">
        <v>69</v>
      </c>
      <c r="AB158" t="s">
        <v>18</v>
      </c>
      <c r="AC158">
        <v>5</v>
      </c>
      <c r="AD158" t="s">
        <v>19</v>
      </c>
      <c r="AE158" t="s">
        <v>20</v>
      </c>
      <c r="AF158" t="str">
        <f t="shared" si="5"/>
        <v>Yes</v>
      </c>
    </row>
    <row r="159" spans="1:32" x14ac:dyDescent="0.3">
      <c r="A159" t="s">
        <v>548</v>
      </c>
      <c r="B159" s="1">
        <v>45783</v>
      </c>
      <c r="C159" t="s">
        <v>414</v>
      </c>
      <c r="D159">
        <f t="shared" si="4"/>
        <v>17</v>
      </c>
      <c r="E159" t="s">
        <v>47</v>
      </c>
      <c r="F159" t="s">
        <v>48</v>
      </c>
      <c r="G159" t="s">
        <v>181</v>
      </c>
      <c r="H159" t="s">
        <v>159</v>
      </c>
      <c r="I159" t="s">
        <v>160</v>
      </c>
      <c r="J159" t="s">
        <v>161</v>
      </c>
      <c r="K159" t="s">
        <v>74</v>
      </c>
      <c r="L159" t="s">
        <v>549</v>
      </c>
      <c r="M159" t="s">
        <v>65</v>
      </c>
      <c r="N159" t="s">
        <v>11</v>
      </c>
      <c r="O159">
        <v>44</v>
      </c>
      <c r="P159" t="s">
        <v>31</v>
      </c>
      <c r="Q159" t="s">
        <v>436</v>
      </c>
      <c r="R159" t="s">
        <v>437</v>
      </c>
      <c r="S159" t="s">
        <v>178</v>
      </c>
      <c r="T159" t="s">
        <v>35</v>
      </c>
      <c r="U159">
        <v>3</v>
      </c>
      <c r="V159">
        <v>66</v>
      </c>
      <c r="W159">
        <v>165</v>
      </c>
      <c r="X159">
        <v>0</v>
      </c>
      <c r="Y159">
        <v>495</v>
      </c>
      <c r="Z159">
        <v>297</v>
      </c>
      <c r="AA159" t="s">
        <v>17</v>
      </c>
      <c r="AB159" t="s">
        <v>44</v>
      </c>
      <c r="AC159">
        <v>4</v>
      </c>
      <c r="AD159" t="s">
        <v>105</v>
      </c>
      <c r="AE159" t="s">
        <v>95</v>
      </c>
      <c r="AF159" t="str">
        <f t="shared" si="5"/>
        <v>No</v>
      </c>
    </row>
    <row r="160" spans="1:32" x14ac:dyDescent="0.3">
      <c r="A160" t="s">
        <v>550</v>
      </c>
      <c r="B160" s="1">
        <v>45820</v>
      </c>
      <c r="C160" t="s">
        <v>345</v>
      </c>
      <c r="D160">
        <f t="shared" si="4"/>
        <v>18</v>
      </c>
      <c r="E160" t="s">
        <v>131</v>
      </c>
      <c r="F160" t="s">
        <v>48</v>
      </c>
      <c r="G160" t="s">
        <v>98</v>
      </c>
      <c r="H160" t="s">
        <v>5</v>
      </c>
      <c r="I160" t="s">
        <v>6</v>
      </c>
      <c r="J160" t="s">
        <v>7</v>
      </c>
      <c r="K160" t="s">
        <v>153</v>
      </c>
      <c r="L160" t="s">
        <v>551</v>
      </c>
      <c r="M160" t="s">
        <v>65</v>
      </c>
      <c r="N160" t="s">
        <v>11</v>
      </c>
      <c r="O160">
        <v>48</v>
      </c>
      <c r="P160" t="s">
        <v>31</v>
      </c>
      <c r="Q160" t="s">
        <v>295</v>
      </c>
      <c r="R160" t="s">
        <v>296</v>
      </c>
      <c r="S160" t="s">
        <v>57</v>
      </c>
      <c r="T160" t="s">
        <v>35</v>
      </c>
      <c r="U160">
        <v>1</v>
      </c>
      <c r="V160">
        <v>62</v>
      </c>
      <c r="W160">
        <v>186</v>
      </c>
      <c r="X160">
        <v>5</v>
      </c>
      <c r="Y160">
        <v>176.7</v>
      </c>
      <c r="Z160">
        <v>114.7</v>
      </c>
      <c r="AA160" t="s">
        <v>179</v>
      </c>
      <c r="AB160" t="s">
        <v>129</v>
      </c>
      <c r="AD160" t="s">
        <v>19</v>
      </c>
      <c r="AE160" t="s">
        <v>20</v>
      </c>
      <c r="AF160" t="str">
        <f t="shared" si="5"/>
        <v>Yes</v>
      </c>
    </row>
    <row r="161" spans="1:32" x14ac:dyDescent="0.3">
      <c r="A161" t="s">
        <v>552</v>
      </c>
      <c r="B161" s="1">
        <v>45749</v>
      </c>
      <c r="C161" t="s">
        <v>345</v>
      </c>
      <c r="D161">
        <f t="shared" si="4"/>
        <v>18</v>
      </c>
      <c r="E161" t="s">
        <v>60</v>
      </c>
      <c r="F161" t="s">
        <v>48</v>
      </c>
      <c r="G161" t="s">
        <v>73</v>
      </c>
      <c r="H161" t="s">
        <v>81</v>
      </c>
      <c r="I161" t="s">
        <v>82</v>
      </c>
      <c r="J161" t="s">
        <v>7</v>
      </c>
      <c r="K161" t="s">
        <v>245</v>
      </c>
      <c r="L161" t="s">
        <v>423</v>
      </c>
      <c r="M161" t="s">
        <v>169</v>
      </c>
      <c r="N161" t="s">
        <v>30</v>
      </c>
      <c r="O161">
        <v>29</v>
      </c>
      <c r="P161" t="s">
        <v>31</v>
      </c>
      <c r="Q161" t="s">
        <v>85</v>
      </c>
      <c r="R161" t="s">
        <v>86</v>
      </c>
      <c r="S161" t="s">
        <v>34</v>
      </c>
      <c r="T161" t="s">
        <v>16</v>
      </c>
      <c r="U161">
        <v>4</v>
      </c>
      <c r="V161">
        <v>27</v>
      </c>
      <c r="W161">
        <v>81</v>
      </c>
      <c r="X161">
        <v>10</v>
      </c>
      <c r="Y161">
        <v>291.60000000000002</v>
      </c>
      <c r="Z161">
        <v>183.6</v>
      </c>
      <c r="AA161" t="s">
        <v>69</v>
      </c>
      <c r="AB161" t="s">
        <v>87</v>
      </c>
      <c r="AC161">
        <v>4</v>
      </c>
      <c r="AD161" t="s">
        <v>19</v>
      </c>
      <c r="AE161" t="s">
        <v>20</v>
      </c>
      <c r="AF161" t="str">
        <f t="shared" si="5"/>
        <v>Yes</v>
      </c>
    </row>
    <row r="162" spans="1:32" x14ac:dyDescent="0.3">
      <c r="A162" t="s">
        <v>553</v>
      </c>
      <c r="B162" s="1">
        <v>45659</v>
      </c>
      <c r="C162" t="s">
        <v>554</v>
      </c>
      <c r="D162">
        <f t="shared" si="4"/>
        <v>11</v>
      </c>
      <c r="E162" t="s">
        <v>2</v>
      </c>
      <c r="F162" t="s">
        <v>3</v>
      </c>
      <c r="G162" t="s">
        <v>98</v>
      </c>
      <c r="H162" t="s">
        <v>81</v>
      </c>
      <c r="I162" t="s">
        <v>82</v>
      </c>
      <c r="J162" t="s">
        <v>7</v>
      </c>
      <c r="K162" t="s">
        <v>114</v>
      </c>
      <c r="L162" t="s">
        <v>319</v>
      </c>
      <c r="M162" t="s">
        <v>225</v>
      </c>
      <c r="N162" t="s">
        <v>30</v>
      </c>
      <c r="O162">
        <v>28</v>
      </c>
      <c r="P162" t="s">
        <v>12</v>
      </c>
      <c r="Q162" t="s">
        <v>116</v>
      </c>
      <c r="R162" t="s">
        <v>117</v>
      </c>
      <c r="S162" t="s">
        <v>118</v>
      </c>
      <c r="T162" t="s">
        <v>35</v>
      </c>
      <c r="U162">
        <v>4</v>
      </c>
      <c r="V162">
        <v>99</v>
      </c>
      <c r="W162">
        <v>277.2</v>
      </c>
      <c r="X162">
        <v>5</v>
      </c>
      <c r="Y162">
        <v>1053.3599999999999</v>
      </c>
      <c r="Z162">
        <v>657.36</v>
      </c>
      <c r="AA162" t="s">
        <v>17</v>
      </c>
      <c r="AB162" t="s">
        <v>87</v>
      </c>
      <c r="AC162">
        <v>4</v>
      </c>
      <c r="AD162" t="s">
        <v>19</v>
      </c>
      <c r="AE162" t="s">
        <v>20</v>
      </c>
      <c r="AF162" t="str">
        <f t="shared" si="5"/>
        <v>Yes</v>
      </c>
    </row>
    <row r="163" spans="1:32" x14ac:dyDescent="0.3">
      <c r="A163" t="s">
        <v>555</v>
      </c>
      <c r="B163" s="1">
        <v>45708</v>
      </c>
      <c r="C163" t="s">
        <v>113</v>
      </c>
      <c r="D163">
        <f t="shared" si="4"/>
        <v>8</v>
      </c>
      <c r="E163" t="s">
        <v>145</v>
      </c>
      <c r="F163" t="s">
        <v>3</v>
      </c>
      <c r="G163" t="s">
        <v>98</v>
      </c>
      <c r="H163" t="s">
        <v>24</v>
      </c>
      <c r="I163" t="s">
        <v>25</v>
      </c>
      <c r="J163" t="s">
        <v>26</v>
      </c>
      <c r="K163" t="s">
        <v>318</v>
      </c>
      <c r="L163" t="s">
        <v>556</v>
      </c>
      <c r="M163" t="s">
        <v>65</v>
      </c>
      <c r="N163" t="s">
        <v>11</v>
      </c>
      <c r="O163">
        <v>21</v>
      </c>
      <c r="P163" t="s">
        <v>12</v>
      </c>
      <c r="Q163" t="s">
        <v>327</v>
      </c>
      <c r="R163" t="s">
        <v>328</v>
      </c>
      <c r="S163" t="s">
        <v>136</v>
      </c>
      <c r="T163" t="s">
        <v>16</v>
      </c>
      <c r="U163">
        <v>4</v>
      </c>
      <c r="V163">
        <v>73</v>
      </c>
      <c r="W163">
        <v>160.6</v>
      </c>
      <c r="X163">
        <v>15</v>
      </c>
      <c r="Y163">
        <v>546.04</v>
      </c>
      <c r="Z163">
        <v>254.04</v>
      </c>
      <c r="AA163" t="s">
        <v>17</v>
      </c>
      <c r="AB163" t="s">
        <v>18</v>
      </c>
      <c r="AD163" t="s">
        <v>19</v>
      </c>
      <c r="AE163" t="s">
        <v>20</v>
      </c>
      <c r="AF163" t="str">
        <f t="shared" si="5"/>
        <v>Yes</v>
      </c>
    </row>
    <row r="164" spans="1:32" x14ac:dyDescent="0.3">
      <c r="A164" t="s">
        <v>557</v>
      </c>
      <c r="B164" s="1">
        <v>45765</v>
      </c>
      <c r="C164" t="s">
        <v>158</v>
      </c>
      <c r="D164">
        <f t="shared" si="4"/>
        <v>8</v>
      </c>
      <c r="E164" t="s">
        <v>60</v>
      </c>
      <c r="F164" t="s">
        <v>48</v>
      </c>
      <c r="G164" t="s">
        <v>40</v>
      </c>
      <c r="H164" t="s">
        <v>5</v>
      </c>
      <c r="I164" t="s">
        <v>6</v>
      </c>
      <c r="J164" t="s">
        <v>7</v>
      </c>
      <c r="K164" t="s">
        <v>182</v>
      </c>
      <c r="L164" t="s">
        <v>412</v>
      </c>
      <c r="M164" t="s">
        <v>225</v>
      </c>
      <c r="N164" t="s">
        <v>11</v>
      </c>
      <c r="O164">
        <v>28</v>
      </c>
      <c r="P164" t="s">
        <v>91</v>
      </c>
      <c r="Q164" t="s">
        <v>230</v>
      </c>
      <c r="R164" t="s">
        <v>231</v>
      </c>
      <c r="S164" t="s">
        <v>128</v>
      </c>
      <c r="T164" t="s">
        <v>35</v>
      </c>
      <c r="U164">
        <v>2</v>
      </c>
      <c r="V164">
        <v>62</v>
      </c>
      <c r="W164">
        <v>186</v>
      </c>
      <c r="X164">
        <v>0</v>
      </c>
      <c r="Y164">
        <v>372</v>
      </c>
      <c r="Z164">
        <v>248</v>
      </c>
      <c r="AA164" t="s">
        <v>43</v>
      </c>
      <c r="AB164" t="s">
        <v>18</v>
      </c>
      <c r="AC164">
        <v>4</v>
      </c>
      <c r="AD164" t="s">
        <v>19</v>
      </c>
      <c r="AE164" t="s">
        <v>20</v>
      </c>
      <c r="AF164" t="str">
        <f t="shared" si="5"/>
        <v>Yes</v>
      </c>
    </row>
    <row r="165" spans="1:32" x14ac:dyDescent="0.3">
      <c r="A165" t="s">
        <v>558</v>
      </c>
      <c r="B165" s="1">
        <v>45696</v>
      </c>
      <c r="C165" t="s">
        <v>214</v>
      </c>
      <c r="D165">
        <f t="shared" si="4"/>
        <v>7</v>
      </c>
      <c r="E165" t="s">
        <v>145</v>
      </c>
      <c r="F165" t="s">
        <v>3</v>
      </c>
      <c r="G165" t="s">
        <v>132</v>
      </c>
      <c r="H165" t="s">
        <v>150</v>
      </c>
      <c r="I165" t="s">
        <v>151</v>
      </c>
      <c r="J165" t="s">
        <v>152</v>
      </c>
      <c r="K165" t="s">
        <v>196</v>
      </c>
      <c r="L165" t="s">
        <v>559</v>
      </c>
      <c r="M165" t="s">
        <v>140</v>
      </c>
      <c r="N165" t="s">
        <v>30</v>
      </c>
      <c r="O165">
        <v>25</v>
      </c>
      <c r="P165" t="s">
        <v>54</v>
      </c>
      <c r="Q165" t="s">
        <v>109</v>
      </c>
      <c r="R165" t="s">
        <v>110</v>
      </c>
      <c r="S165" t="s">
        <v>111</v>
      </c>
      <c r="T165" t="s">
        <v>16</v>
      </c>
      <c r="U165">
        <v>4</v>
      </c>
      <c r="V165">
        <v>83</v>
      </c>
      <c r="W165">
        <v>182.6</v>
      </c>
      <c r="X165">
        <v>0</v>
      </c>
      <c r="Y165">
        <v>730.4</v>
      </c>
      <c r="Z165">
        <v>398.4</v>
      </c>
      <c r="AA165" t="s">
        <v>36</v>
      </c>
      <c r="AB165" t="s">
        <v>44</v>
      </c>
      <c r="AC165">
        <v>5</v>
      </c>
      <c r="AD165" t="s">
        <v>105</v>
      </c>
      <c r="AE165" t="s">
        <v>20</v>
      </c>
      <c r="AF165" t="str">
        <f t="shared" si="5"/>
        <v>Yes</v>
      </c>
    </row>
    <row r="166" spans="1:32" x14ac:dyDescent="0.3">
      <c r="A166" t="s">
        <v>560</v>
      </c>
      <c r="B166" s="1">
        <v>45757</v>
      </c>
      <c r="C166" t="s">
        <v>174</v>
      </c>
      <c r="D166">
        <f t="shared" si="4"/>
        <v>17</v>
      </c>
      <c r="E166" t="s">
        <v>60</v>
      </c>
      <c r="F166" t="s">
        <v>48</v>
      </c>
      <c r="G166" t="s">
        <v>98</v>
      </c>
      <c r="H166" t="s">
        <v>49</v>
      </c>
      <c r="I166" t="s">
        <v>50</v>
      </c>
      <c r="J166" t="s">
        <v>7</v>
      </c>
      <c r="K166" t="s">
        <v>74</v>
      </c>
      <c r="L166" t="s">
        <v>331</v>
      </c>
      <c r="M166" t="s">
        <v>162</v>
      </c>
      <c r="N166" t="s">
        <v>11</v>
      </c>
      <c r="O166">
        <v>52</v>
      </c>
      <c r="P166" t="s">
        <v>76</v>
      </c>
      <c r="Q166" t="s">
        <v>141</v>
      </c>
      <c r="R166" t="s">
        <v>142</v>
      </c>
      <c r="S166" t="s">
        <v>111</v>
      </c>
      <c r="T166" t="s">
        <v>16</v>
      </c>
      <c r="U166">
        <v>2</v>
      </c>
      <c r="V166">
        <v>35</v>
      </c>
      <c r="W166">
        <v>77</v>
      </c>
      <c r="X166">
        <v>10</v>
      </c>
      <c r="Y166">
        <v>138.6</v>
      </c>
      <c r="Z166">
        <v>68.599999999999994</v>
      </c>
      <c r="AA166" t="s">
        <v>36</v>
      </c>
      <c r="AB166" t="s">
        <v>87</v>
      </c>
      <c r="AC166">
        <v>3</v>
      </c>
      <c r="AD166" t="s">
        <v>105</v>
      </c>
      <c r="AE166" t="s">
        <v>95</v>
      </c>
      <c r="AF166" t="str">
        <f t="shared" si="5"/>
        <v>No</v>
      </c>
    </row>
    <row r="167" spans="1:32" x14ac:dyDescent="0.3">
      <c r="A167" t="s">
        <v>561</v>
      </c>
      <c r="B167" s="1">
        <v>45783</v>
      </c>
      <c r="C167" t="s">
        <v>39</v>
      </c>
      <c r="D167">
        <f t="shared" si="4"/>
        <v>18</v>
      </c>
      <c r="E167" t="s">
        <v>47</v>
      </c>
      <c r="F167" t="s">
        <v>48</v>
      </c>
      <c r="G167" t="s">
        <v>181</v>
      </c>
      <c r="H167" t="s">
        <v>61</v>
      </c>
      <c r="I167" t="s">
        <v>62</v>
      </c>
      <c r="J167" t="s">
        <v>7</v>
      </c>
      <c r="K167" t="s">
        <v>229</v>
      </c>
      <c r="L167" t="s">
        <v>175</v>
      </c>
      <c r="M167" t="s">
        <v>29</v>
      </c>
      <c r="N167" t="s">
        <v>30</v>
      </c>
      <c r="O167">
        <v>62</v>
      </c>
      <c r="P167" t="s">
        <v>31</v>
      </c>
      <c r="Q167" t="s">
        <v>313</v>
      </c>
      <c r="R167" t="s">
        <v>314</v>
      </c>
      <c r="S167" t="s">
        <v>128</v>
      </c>
      <c r="T167" t="s">
        <v>35</v>
      </c>
      <c r="U167">
        <v>3</v>
      </c>
      <c r="V167">
        <v>81</v>
      </c>
      <c r="W167">
        <v>202.5</v>
      </c>
      <c r="X167">
        <v>10</v>
      </c>
      <c r="Y167">
        <v>546.75</v>
      </c>
      <c r="Z167">
        <v>303.75</v>
      </c>
      <c r="AA167" t="s">
        <v>17</v>
      </c>
      <c r="AB167" t="s">
        <v>44</v>
      </c>
      <c r="AC167">
        <v>3</v>
      </c>
      <c r="AD167" t="s">
        <v>19</v>
      </c>
      <c r="AE167" t="s">
        <v>20</v>
      </c>
      <c r="AF167" t="str">
        <f t="shared" si="5"/>
        <v>Yes</v>
      </c>
    </row>
    <row r="168" spans="1:32" x14ac:dyDescent="0.3">
      <c r="A168" t="s">
        <v>562</v>
      </c>
      <c r="B168" s="1">
        <v>45782</v>
      </c>
      <c r="C168" t="s">
        <v>214</v>
      </c>
      <c r="D168">
        <f t="shared" si="4"/>
        <v>7</v>
      </c>
      <c r="E168" t="s">
        <v>47</v>
      </c>
      <c r="F168" t="s">
        <v>48</v>
      </c>
      <c r="G168" t="s">
        <v>23</v>
      </c>
      <c r="H168" t="s">
        <v>49</v>
      </c>
      <c r="I168" t="s">
        <v>50</v>
      </c>
      <c r="J168" t="s">
        <v>7</v>
      </c>
      <c r="K168" t="s">
        <v>8</v>
      </c>
      <c r="L168" t="s">
        <v>563</v>
      </c>
      <c r="M168" t="s">
        <v>184</v>
      </c>
      <c r="N168" t="s">
        <v>30</v>
      </c>
      <c r="O168">
        <v>25</v>
      </c>
      <c r="P168" t="s">
        <v>91</v>
      </c>
      <c r="Q168" t="s">
        <v>85</v>
      </c>
      <c r="R168" t="s">
        <v>86</v>
      </c>
      <c r="S168" t="s">
        <v>34</v>
      </c>
      <c r="T168" t="s">
        <v>16</v>
      </c>
      <c r="U168">
        <v>3</v>
      </c>
      <c r="V168">
        <v>27</v>
      </c>
      <c r="W168">
        <v>81</v>
      </c>
      <c r="X168">
        <v>15</v>
      </c>
      <c r="Y168">
        <v>206.55</v>
      </c>
      <c r="Z168">
        <v>125.55</v>
      </c>
      <c r="AA168" t="s">
        <v>69</v>
      </c>
      <c r="AB168" t="s">
        <v>44</v>
      </c>
      <c r="AC168">
        <v>4</v>
      </c>
      <c r="AD168" t="s">
        <v>19</v>
      </c>
      <c r="AE168" t="s">
        <v>20</v>
      </c>
      <c r="AF168" t="str">
        <f t="shared" si="5"/>
        <v>Yes</v>
      </c>
    </row>
    <row r="169" spans="1:32" x14ac:dyDescent="0.3">
      <c r="A169" t="s">
        <v>564</v>
      </c>
      <c r="B169" s="1">
        <v>45755</v>
      </c>
      <c r="C169" t="s">
        <v>97</v>
      </c>
      <c r="D169">
        <f t="shared" si="4"/>
        <v>7</v>
      </c>
      <c r="E169" t="s">
        <v>60</v>
      </c>
      <c r="F169" t="s">
        <v>48</v>
      </c>
      <c r="G169" t="s">
        <v>181</v>
      </c>
      <c r="H169" t="s">
        <v>5</v>
      </c>
      <c r="I169" t="s">
        <v>6</v>
      </c>
      <c r="J169" t="s">
        <v>7</v>
      </c>
      <c r="K169" t="s">
        <v>83</v>
      </c>
      <c r="L169" t="s">
        <v>565</v>
      </c>
      <c r="M169" t="s">
        <v>10</v>
      </c>
      <c r="N169" t="s">
        <v>30</v>
      </c>
      <c r="O169">
        <v>52</v>
      </c>
      <c r="P169" t="s">
        <v>31</v>
      </c>
      <c r="Q169" t="s">
        <v>364</v>
      </c>
      <c r="R169" t="s">
        <v>365</v>
      </c>
      <c r="S169" t="s">
        <v>187</v>
      </c>
      <c r="T169" t="s">
        <v>35</v>
      </c>
      <c r="U169">
        <v>4</v>
      </c>
      <c r="V169">
        <v>28</v>
      </c>
      <c r="W169">
        <v>84</v>
      </c>
      <c r="X169">
        <v>5</v>
      </c>
      <c r="Y169">
        <v>319.2</v>
      </c>
      <c r="Z169">
        <v>207.2</v>
      </c>
      <c r="AA169" t="s">
        <v>43</v>
      </c>
      <c r="AB169" t="s">
        <v>18</v>
      </c>
      <c r="AC169">
        <v>4</v>
      </c>
      <c r="AD169" t="s">
        <v>19</v>
      </c>
      <c r="AE169" t="s">
        <v>20</v>
      </c>
      <c r="AF169" t="str">
        <f t="shared" si="5"/>
        <v>Yes</v>
      </c>
    </row>
    <row r="170" spans="1:32" x14ac:dyDescent="0.3">
      <c r="A170" t="s">
        <v>566</v>
      </c>
      <c r="B170" s="1">
        <v>45777</v>
      </c>
      <c r="C170" t="s">
        <v>59</v>
      </c>
      <c r="D170">
        <f t="shared" si="4"/>
        <v>16</v>
      </c>
      <c r="E170" t="s">
        <v>60</v>
      </c>
      <c r="F170" t="s">
        <v>48</v>
      </c>
      <c r="G170" t="s">
        <v>73</v>
      </c>
      <c r="H170" t="s">
        <v>81</v>
      </c>
      <c r="I170" t="s">
        <v>82</v>
      </c>
      <c r="J170" t="s">
        <v>7</v>
      </c>
      <c r="K170" t="s">
        <v>107</v>
      </c>
      <c r="L170" t="s">
        <v>503</v>
      </c>
      <c r="M170" t="s">
        <v>162</v>
      </c>
      <c r="N170" t="s">
        <v>30</v>
      </c>
      <c r="O170">
        <v>31</v>
      </c>
      <c r="P170" t="s">
        <v>12</v>
      </c>
      <c r="Q170" t="s">
        <v>134</v>
      </c>
      <c r="R170" t="s">
        <v>135</v>
      </c>
      <c r="S170" t="s">
        <v>136</v>
      </c>
      <c r="T170" t="s">
        <v>35</v>
      </c>
      <c r="U170">
        <v>4</v>
      </c>
      <c r="V170">
        <v>20</v>
      </c>
      <c r="W170">
        <v>60</v>
      </c>
      <c r="X170">
        <v>15</v>
      </c>
      <c r="Y170">
        <v>204</v>
      </c>
      <c r="Z170">
        <v>124</v>
      </c>
      <c r="AA170" t="s">
        <v>17</v>
      </c>
      <c r="AB170" t="s">
        <v>119</v>
      </c>
      <c r="AC170">
        <v>3</v>
      </c>
      <c r="AD170" t="s">
        <v>105</v>
      </c>
      <c r="AE170" t="s">
        <v>20</v>
      </c>
      <c r="AF170" t="str">
        <f t="shared" si="5"/>
        <v>Yes</v>
      </c>
    </row>
    <row r="171" spans="1:32" x14ac:dyDescent="0.3">
      <c r="A171" t="s">
        <v>567</v>
      </c>
      <c r="B171" s="1">
        <v>45683</v>
      </c>
      <c r="C171" t="s">
        <v>568</v>
      </c>
      <c r="D171">
        <f t="shared" si="4"/>
        <v>11</v>
      </c>
      <c r="E171" t="s">
        <v>2</v>
      </c>
      <c r="F171" t="s">
        <v>3</v>
      </c>
      <c r="G171" t="s">
        <v>4</v>
      </c>
      <c r="H171" t="s">
        <v>122</v>
      </c>
      <c r="I171" t="s">
        <v>123</v>
      </c>
      <c r="J171" t="s">
        <v>7</v>
      </c>
      <c r="K171" t="s">
        <v>245</v>
      </c>
      <c r="L171" t="s">
        <v>569</v>
      </c>
      <c r="M171" t="s">
        <v>162</v>
      </c>
      <c r="N171" t="s">
        <v>30</v>
      </c>
      <c r="O171">
        <v>30</v>
      </c>
      <c r="P171" t="s">
        <v>76</v>
      </c>
      <c r="Q171" t="s">
        <v>506</v>
      </c>
      <c r="R171" t="s">
        <v>507</v>
      </c>
      <c r="S171" t="s">
        <v>118</v>
      </c>
      <c r="T171" t="s">
        <v>16</v>
      </c>
      <c r="U171">
        <v>4</v>
      </c>
      <c r="V171">
        <v>39</v>
      </c>
      <c r="W171">
        <v>109.2</v>
      </c>
      <c r="X171">
        <v>0</v>
      </c>
      <c r="Y171">
        <v>436.8</v>
      </c>
      <c r="Z171">
        <v>280.8</v>
      </c>
      <c r="AA171" t="s">
        <v>36</v>
      </c>
      <c r="AB171" t="s">
        <v>44</v>
      </c>
      <c r="AC171">
        <v>3</v>
      </c>
      <c r="AD171" t="s">
        <v>19</v>
      </c>
      <c r="AE171" t="s">
        <v>20</v>
      </c>
      <c r="AF171" t="str">
        <f t="shared" si="5"/>
        <v>Yes</v>
      </c>
    </row>
    <row r="172" spans="1:32" x14ac:dyDescent="0.3">
      <c r="A172" t="s">
        <v>570</v>
      </c>
      <c r="B172" s="1">
        <v>45753</v>
      </c>
      <c r="C172" t="s">
        <v>388</v>
      </c>
      <c r="D172">
        <f t="shared" si="4"/>
        <v>19</v>
      </c>
      <c r="E172" t="s">
        <v>60</v>
      </c>
      <c r="F172" t="s">
        <v>48</v>
      </c>
      <c r="G172" t="s">
        <v>4</v>
      </c>
      <c r="H172" t="s">
        <v>49</v>
      </c>
      <c r="I172" t="s">
        <v>50</v>
      </c>
      <c r="J172" t="s">
        <v>7</v>
      </c>
      <c r="K172" t="s">
        <v>311</v>
      </c>
      <c r="L172" t="s">
        <v>571</v>
      </c>
      <c r="M172" t="s">
        <v>10</v>
      </c>
      <c r="N172" t="s">
        <v>11</v>
      </c>
      <c r="O172">
        <v>42</v>
      </c>
      <c r="P172" t="s">
        <v>54</v>
      </c>
      <c r="Q172" t="s">
        <v>506</v>
      </c>
      <c r="R172" t="s">
        <v>507</v>
      </c>
      <c r="S172" t="s">
        <v>118</v>
      </c>
      <c r="T172" t="s">
        <v>16</v>
      </c>
      <c r="U172">
        <v>4</v>
      </c>
      <c r="V172">
        <v>39</v>
      </c>
      <c r="W172">
        <v>109.2</v>
      </c>
      <c r="X172">
        <v>10</v>
      </c>
      <c r="Y172">
        <v>393.12</v>
      </c>
      <c r="Z172">
        <v>237.12</v>
      </c>
      <c r="AA172" t="s">
        <v>17</v>
      </c>
      <c r="AB172" t="s">
        <v>129</v>
      </c>
      <c r="AC172">
        <v>4</v>
      </c>
      <c r="AD172" t="s">
        <v>19</v>
      </c>
      <c r="AE172" t="s">
        <v>20</v>
      </c>
      <c r="AF172" t="str">
        <f t="shared" si="5"/>
        <v>Yes</v>
      </c>
    </row>
    <row r="173" spans="1:32" x14ac:dyDescent="0.3">
      <c r="A173" t="s">
        <v>572</v>
      </c>
      <c r="B173" s="1">
        <v>45745</v>
      </c>
      <c r="C173" t="s">
        <v>414</v>
      </c>
      <c r="D173">
        <f t="shared" si="4"/>
        <v>17</v>
      </c>
      <c r="E173" t="s">
        <v>72</v>
      </c>
      <c r="F173" t="s">
        <v>3</v>
      </c>
      <c r="G173" t="s">
        <v>132</v>
      </c>
      <c r="H173" t="s">
        <v>49</v>
      </c>
      <c r="I173" t="s">
        <v>50</v>
      </c>
      <c r="J173" t="s">
        <v>7</v>
      </c>
      <c r="K173" t="s">
        <v>146</v>
      </c>
      <c r="L173" t="s">
        <v>115</v>
      </c>
      <c r="M173" t="s">
        <v>29</v>
      </c>
      <c r="N173" t="s">
        <v>30</v>
      </c>
      <c r="O173">
        <v>38</v>
      </c>
      <c r="P173" t="s">
        <v>76</v>
      </c>
      <c r="Q173" t="s">
        <v>518</v>
      </c>
      <c r="R173" t="s">
        <v>519</v>
      </c>
      <c r="S173" t="s">
        <v>242</v>
      </c>
      <c r="T173" t="s">
        <v>35</v>
      </c>
      <c r="U173">
        <v>3</v>
      </c>
      <c r="V173">
        <v>88</v>
      </c>
      <c r="W173">
        <v>193.6</v>
      </c>
      <c r="X173">
        <v>10</v>
      </c>
      <c r="Y173">
        <v>522.72</v>
      </c>
      <c r="Z173">
        <v>258.72000000000003</v>
      </c>
      <c r="AA173" t="s">
        <v>179</v>
      </c>
      <c r="AB173" t="s">
        <v>129</v>
      </c>
      <c r="AD173" t="s">
        <v>19</v>
      </c>
      <c r="AE173" t="s">
        <v>20</v>
      </c>
      <c r="AF173" t="str">
        <f t="shared" si="5"/>
        <v>Yes</v>
      </c>
    </row>
    <row r="174" spans="1:32" x14ac:dyDescent="0.3">
      <c r="A174" t="s">
        <v>573</v>
      </c>
      <c r="B174" s="1">
        <v>45701</v>
      </c>
      <c r="C174" t="s">
        <v>425</v>
      </c>
      <c r="D174">
        <f t="shared" si="4"/>
        <v>15</v>
      </c>
      <c r="E174" t="s">
        <v>145</v>
      </c>
      <c r="F174" t="s">
        <v>3</v>
      </c>
      <c r="G174" t="s">
        <v>98</v>
      </c>
      <c r="H174" t="s">
        <v>159</v>
      </c>
      <c r="I174" t="s">
        <v>160</v>
      </c>
      <c r="J174" t="s">
        <v>161</v>
      </c>
      <c r="K174" t="s">
        <v>167</v>
      </c>
      <c r="L174" t="s">
        <v>331</v>
      </c>
      <c r="M174" t="s">
        <v>65</v>
      </c>
      <c r="N174" t="s">
        <v>30</v>
      </c>
      <c r="O174">
        <v>36</v>
      </c>
      <c r="P174" t="s">
        <v>54</v>
      </c>
      <c r="Q174" t="s">
        <v>518</v>
      </c>
      <c r="R174" t="s">
        <v>519</v>
      </c>
      <c r="S174" t="s">
        <v>242</v>
      </c>
      <c r="T174" t="s">
        <v>35</v>
      </c>
      <c r="U174">
        <v>2</v>
      </c>
      <c r="V174">
        <v>88</v>
      </c>
      <c r="W174">
        <v>193.6</v>
      </c>
      <c r="X174">
        <v>10</v>
      </c>
      <c r="Y174">
        <v>348.48</v>
      </c>
      <c r="Z174">
        <v>172.48</v>
      </c>
      <c r="AA174" t="s">
        <v>36</v>
      </c>
      <c r="AB174" t="s">
        <v>44</v>
      </c>
      <c r="AD174" t="s">
        <v>19</v>
      </c>
      <c r="AE174" t="s">
        <v>20</v>
      </c>
      <c r="AF174" t="str">
        <f t="shared" si="5"/>
        <v>Yes</v>
      </c>
    </row>
    <row r="175" spans="1:32" x14ac:dyDescent="0.3">
      <c r="A175" t="s">
        <v>574</v>
      </c>
      <c r="B175" s="1">
        <v>45814</v>
      </c>
      <c r="C175" t="s">
        <v>322</v>
      </c>
      <c r="D175">
        <f t="shared" si="4"/>
        <v>10</v>
      </c>
      <c r="E175" t="s">
        <v>131</v>
      </c>
      <c r="F175" t="s">
        <v>48</v>
      </c>
      <c r="G175" t="s">
        <v>40</v>
      </c>
      <c r="H175" t="s">
        <v>99</v>
      </c>
      <c r="I175" t="s">
        <v>100</v>
      </c>
      <c r="J175" t="s">
        <v>101</v>
      </c>
      <c r="K175" t="s">
        <v>352</v>
      </c>
      <c r="L175" t="s">
        <v>532</v>
      </c>
      <c r="M175" t="s">
        <v>29</v>
      </c>
      <c r="N175" t="s">
        <v>11</v>
      </c>
      <c r="O175">
        <v>37</v>
      </c>
      <c r="P175" t="s">
        <v>54</v>
      </c>
      <c r="Q175" t="s">
        <v>506</v>
      </c>
      <c r="R175" t="s">
        <v>507</v>
      </c>
      <c r="S175" t="s">
        <v>118</v>
      </c>
      <c r="T175" t="s">
        <v>16</v>
      </c>
      <c r="U175">
        <v>2</v>
      </c>
      <c r="V175">
        <v>39</v>
      </c>
      <c r="W175">
        <v>109.2</v>
      </c>
      <c r="X175">
        <v>5</v>
      </c>
      <c r="Y175">
        <v>207.48</v>
      </c>
      <c r="Z175">
        <v>129.47999999999999</v>
      </c>
      <c r="AA175" t="s">
        <v>36</v>
      </c>
      <c r="AB175" t="s">
        <v>18</v>
      </c>
      <c r="AC175">
        <v>4</v>
      </c>
      <c r="AD175" t="s">
        <v>19</v>
      </c>
      <c r="AE175" t="s">
        <v>20</v>
      </c>
      <c r="AF175" t="str">
        <f t="shared" si="5"/>
        <v>Yes</v>
      </c>
    </row>
    <row r="176" spans="1:32" x14ac:dyDescent="0.3">
      <c r="A176" t="s">
        <v>575</v>
      </c>
      <c r="B176" s="1">
        <v>45727</v>
      </c>
      <c r="C176" t="s">
        <v>537</v>
      </c>
      <c r="D176">
        <f t="shared" si="4"/>
        <v>8</v>
      </c>
      <c r="E176" t="s">
        <v>72</v>
      </c>
      <c r="F176" t="s">
        <v>3</v>
      </c>
      <c r="G176" t="s">
        <v>181</v>
      </c>
      <c r="H176" t="s">
        <v>122</v>
      </c>
      <c r="I176" t="s">
        <v>123</v>
      </c>
      <c r="J176" t="s">
        <v>7</v>
      </c>
      <c r="K176" t="s">
        <v>311</v>
      </c>
      <c r="L176" t="s">
        <v>439</v>
      </c>
      <c r="M176" t="s">
        <v>140</v>
      </c>
      <c r="N176" t="s">
        <v>11</v>
      </c>
      <c r="O176">
        <v>54</v>
      </c>
      <c r="P176" t="s">
        <v>76</v>
      </c>
      <c r="Q176" t="s">
        <v>252</v>
      </c>
      <c r="R176" t="s">
        <v>253</v>
      </c>
      <c r="S176" t="s">
        <v>178</v>
      </c>
      <c r="T176" t="s">
        <v>35</v>
      </c>
      <c r="U176">
        <v>4</v>
      </c>
      <c r="V176">
        <v>82</v>
      </c>
      <c r="W176">
        <v>205</v>
      </c>
      <c r="X176">
        <v>15</v>
      </c>
      <c r="Y176">
        <v>697</v>
      </c>
      <c r="Z176">
        <v>369</v>
      </c>
      <c r="AA176" t="s">
        <v>17</v>
      </c>
      <c r="AB176" t="s">
        <v>18</v>
      </c>
      <c r="AC176">
        <v>3</v>
      </c>
      <c r="AD176" t="s">
        <v>19</v>
      </c>
      <c r="AE176" t="s">
        <v>20</v>
      </c>
      <c r="AF176" t="str">
        <f t="shared" si="5"/>
        <v>Yes</v>
      </c>
    </row>
    <row r="177" spans="1:32" x14ac:dyDescent="0.3">
      <c r="A177" t="s">
        <v>576</v>
      </c>
      <c r="B177" s="1">
        <v>45829</v>
      </c>
      <c r="C177" t="s">
        <v>189</v>
      </c>
      <c r="D177">
        <f t="shared" si="4"/>
        <v>9</v>
      </c>
      <c r="E177" t="s">
        <v>131</v>
      </c>
      <c r="F177" t="s">
        <v>48</v>
      </c>
      <c r="G177" t="s">
        <v>132</v>
      </c>
      <c r="H177" t="s">
        <v>122</v>
      </c>
      <c r="I177" t="s">
        <v>123</v>
      </c>
      <c r="J177" t="s">
        <v>7</v>
      </c>
      <c r="K177" t="s">
        <v>83</v>
      </c>
      <c r="L177" t="s">
        <v>290</v>
      </c>
      <c r="M177" t="s">
        <v>184</v>
      </c>
      <c r="N177" t="s">
        <v>11</v>
      </c>
      <c r="O177">
        <v>25</v>
      </c>
      <c r="P177" t="s">
        <v>31</v>
      </c>
      <c r="Q177" t="s">
        <v>66</v>
      </c>
      <c r="R177" t="s">
        <v>67</v>
      </c>
      <c r="S177" t="s">
        <v>68</v>
      </c>
      <c r="T177" t="s">
        <v>16</v>
      </c>
      <c r="U177">
        <v>1</v>
      </c>
      <c r="V177">
        <v>43</v>
      </c>
      <c r="W177">
        <v>120.4</v>
      </c>
      <c r="X177">
        <v>15</v>
      </c>
      <c r="Y177">
        <v>102.34</v>
      </c>
      <c r="Z177">
        <v>59.34</v>
      </c>
      <c r="AA177" t="s">
        <v>179</v>
      </c>
      <c r="AB177" t="s">
        <v>44</v>
      </c>
      <c r="AC177">
        <v>4</v>
      </c>
      <c r="AD177" t="s">
        <v>19</v>
      </c>
      <c r="AE177" t="s">
        <v>20</v>
      </c>
      <c r="AF177" t="str">
        <f t="shared" si="5"/>
        <v>Yes</v>
      </c>
    </row>
    <row r="178" spans="1:32" x14ac:dyDescent="0.3">
      <c r="A178" t="s">
        <v>577</v>
      </c>
      <c r="B178" s="1">
        <v>45735</v>
      </c>
      <c r="C178" t="s">
        <v>22</v>
      </c>
      <c r="D178">
        <f t="shared" si="4"/>
        <v>7</v>
      </c>
      <c r="E178" t="s">
        <v>72</v>
      </c>
      <c r="F178" t="s">
        <v>3</v>
      </c>
      <c r="G178" t="s">
        <v>73</v>
      </c>
      <c r="H178" t="s">
        <v>164</v>
      </c>
      <c r="I178" t="s">
        <v>165</v>
      </c>
      <c r="J178" t="s">
        <v>166</v>
      </c>
      <c r="K178" t="s">
        <v>51</v>
      </c>
      <c r="L178" t="s">
        <v>316</v>
      </c>
      <c r="M178" t="s">
        <v>53</v>
      </c>
      <c r="N178" t="s">
        <v>11</v>
      </c>
      <c r="O178">
        <v>45</v>
      </c>
      <c r="P178" t="s">
        <v>91</v>
      </c>
      <c r="Q178" t="s">
        <v>211</v>
      </c>
      <c r="R178" t="s">
        <v>212</v>
      </c>
      <c r="S178" t="s">
        <v>128</v>
      </c>
      <c r="T178" t="s">
        <v>16</v>
      </c>
      <c r="U178">
        <v>3</v>
      </c>
      <c r="V178">
        <v>50</v>
      </c>
      <c r="W178">
        <v>140</v>
      </c>
      <c r="X178">
        <v>10</v>
      </c>
      <c r="Y178">
        <v>378</v>
      </c>
      <c r="Z178">
        <v>228</v>
      </c>
      <c r="AA178" t="s">
        <v>36</v>
      </c>
      <c r="AB178" t="s">
        <v>87</v>
      </c>
      <c r="AC178">
        <v>5</v>
      </c>
      <c r="AD178" t="s">
        <v>19</v>
      </c>
      <c r="AE178" t="s">
        <v>95</v>
      </c>
      <c r="AF178" t="str">
        <f t="shared" si="5"/>
        <v>No</v>
      </c>
    </row>
    <row r="179" spans="1:32" x14ac:dyDescent="0.3">
      <c r="A179" t="s">
        <v>578</v>
      </c>
      <c r="B179" s="1">
        <v>45808</v>
      </c>
      <c r="C179" t="s">
        <v>158</v>
      </c>
      <c r="D179">
        <f t="shared" si="4"/>
        <v>8</v>
      </c>
      <c r="E179" t="s">
        <v>47</v>
      </c>
      <c r="F179" t="s">
        <v>48</v>
      </c>
      <c r="G179" t="s">
        <v>132</v>
      </c>
      <c r="H179" t="s">
        <v>61</v>
      </c>
      <c r="I179" t="s">
        <v>62</v>
      </c>
      <c r="J179" t="s">
        <v>7</v>
      </c>
      <c r="K179" t="s">
        <v>83</v>
      </c>
      <c r="L179" t="s">
        <v>90</v>
      </c>
      <c r="M179" t="s">
        <v>162</v>
      </c>
      <c r="N179" t="s">
        <v>30</v>
      </c>
      <c r="O179">
        <v>22</v>
      </c>
      <c r="P179" t="s">
        <v>54</v>
      </c>
      <c r="Q179" t="s">
        <v>211</v>
      </c>
      <c r="R179" t="s">
        <v>212</v>
      </c>
      <c r="S179" t="s">
        <v>128</v>
      </c>
      <c r="T179" t="s">
        <v>16</v>
      </c>
      <c r="U179">
        <v>1</v>
      </c>
      <c r="V179">
        <v>50</v>
      </c>
      <c r="W179">
        <v>140</v>
      </c>
      <c r="X179">
        <v>0</v>
      </c>
      <c r="Y179">
        <v>140</v>
      </c>
      <c r="Z179">
        <v>90</v>
      </c>
      <c r="AA179" t="s">
        <v>36</v>
      </c>
      <c r="AB179" t="s">
        <v>37</v>
      </c>
      <c r="AC179">
        <v>4</v>
      </c>
      <c r="AD179" t="s">
        <v>19</v>
      </c>
      <c r="AE179" t="s">
        <v>20</v>
      </c>
      <c r="AF179" t="str">
        <f t="shared" si="5"/>
        <v>Yes</v>
      </c>
    </row>
    <row r="180" spans="1:32" x14ac:dyDescent="0.3">
      <c r="A180" t="s">
        <v>579</v>
      </c>
      <c r="B180" s="1">
        <v>45702</v>
      </c>
      <c r="C180" t="s">
        <v>537</v>
      </c>
      <c r="D180">
        <f t="shared" si="4"/>
        <v>8</v>
      </c>
      <c r="E180" t="s">
        <v>145</v>
      </c>
      <c r="F180" t="s">
        <v>3</v>
      </c>
      <c r="G180" t="s">
        <v>40</v>
      </c>
      <c r="H180" t="s">
        <v>150</v>
      </c>
      <c r="I180" t="s">
        <v>151</v>
      </c>
      <c r="J180" t="s">
        <v>152</v>
      </c>
      <c r="K180" t="s">
        <v>270</v>
      </c>
      <c r="L180" t="s">
        <v>580</v>
      </c>
      <c r="M180" t="s">
        <v>53</v>
      </c>
      <c r="N180" t="s">
        <v>11</v>
      </c>
      <c r="O180">
        <v>52</v>
      </c>
      <c r="P180" t="s">
        <v>31</v>
      </c>
      <c r="Q180" t="s">
        <v>226</v>
      </c>
      <c r="R180" t="s">
        <v>227</v>
      </c>
      <c r="S180" t="s">
        <v>68</v>
      </c>
      <c r="T180" t="s">
        <v>35</v>
      </c>
      <c r="U180">
        <v>2</v>
      </c>
      <c r="V180">
        <v>43</v>
      </c>
      <c r="W180">
        <v>94.6</v>
      </c>
      <c r="X180">
        <v>15</v>
      </c>
      <c r="Y180">
        <v>160.82</v>
      </c>
      <c r="Z180">
        <v>74.819999999999993</v>
      </c>
      <c r="AA180" t="s">
        <v>17</v>
      </c>
      <c r="AB180" t="s">
        <v>44</v>
      </c>
      <c r="AC180">
        <v>4</v>
      </c>
      <c r="AD180" t="s">
        <v>19</v>
      </c>
      <c r="AE180" t="s">
        <v>20</v>
      </c>
      <c r="AF180" t="str">
        <f t="shared" si="5"/>
        <v>Yes</v>
      </c>
    </row>
    <row r="181" spans="1:32" x14ac:dyDescent="0.3">
      <c r="A181" t="s">
        <v>581</v>
      </c>
      <c r="B181" s="1">
        <v>45812</v>
      </c>
      <c r="C181" t="s">
        <v>340</v>
      </c>
      <c r="D181">
        <f t="shared" si="4"/>
        <v>17</v>
      </c>
      <c r="E181" t="s">
        <v>131</v>
      </c>
      <c r="F181" t="s">
        <v>48</v>
      </c>
      <c r="G181" t="s">
        <v>73</v>
      </c>
      <c r="H181" t="s">
        <v>99</v>
      </c>
      <c r="I181" t="s">
        <v>100</v>
      </c>
      <c r="J181" t="s">
        <v>101</v>
      </c>
      <c r="K181" t="s">
        <v>51</v>
      </c>
      <c r="L181" t="s">
        <v>500</v>
      </c>
      <c r="M181" t="s">
        <v>162</v>
      </c>
      <c r="N181" t="s">
        <v>30</v>
      </c>
      <c r="O181">
        <v>50</v>
      </c>
      <c r="P181" t="s">
        <v>76</v>
      </c>
      <c r="Q181" t="s">
        <v>252</v>
      </c>
      <c r="R181" t="s">
        <v>253</v>
      </c>
      <c r="S181" t="s">
        <v>178</v>
      </c>
      <c r="T181" t="s">
        <v>35</v>
      </c>
      <c r="U181">
        <v>1</v>
      </c>
      <c r="V181">
        <v>82</v>
      </c>
      <c r="W181">
        <v>205</v>
      </c>
      <c r="X181">
        <v>0</v>
      </c>
      <c r="Y181">
        <v>205</v>
      </c>
      <c r="Z181">
        <v>123</v>
      </c>
      <c r="AA181" t="s">
        <v>179</v>
      </c>
      <c r="AB181" t="s">
        <v>44</v>
      </c>
      <c r="AC181">
        <v>4</v>
      </c>
      <c r="AD181" t="s">
        <v>105</v>
      </c>
      <c r="AE181" t="s">
        <v>20</v>
      </c>
      <c r="AF181" t="str">
        <f t="shared" si="5"/>
        <v>Yes</v>
      </c>
    </row>
    <row r="182" spans="1:32" x14ac:dyDescent="0.3">
      <c r="A182" t="s">
        <v>582</v>
      </c>
      <c r="B182" s="1">
        <v>45691</v>
      </c>
      <c r="C182" t="s">
        <v>298</v>
      </c>
      <c r="D182">
        <f t="shared" si="4"/>
        <v>11</v>
      </c>
      <c r="E182" t="s">
        <v>145</v>
      </c>
      <c r="F182" t="s">
        <v>3</v>
      </c>
      <c r="G182" t="s">
        <v>23</v>
      </c>
      <c r="H182" t="s">
        <v>99</v>
      </c>
      <c r="I182" t="s">
        <v>100</v>
      </c>
      <c r="J182" t="s">
        <v>101</v>
      </c>
      <c r="K182" t="s">
        <v>352</v>
      </c>
      <c r="L182" t="s">
        <v>583</v>
      </c>
      <c r="M182" t="s">
        <v>29</v>
      </c>
      <c r="N182" t="s">
        <v>30</v>
      </c>
      <c r="O182">
        <v>44</v>
      </c>
      <c r="P182" t="s">
        <v>31</v>
      </c>
      <c r="Q182" t="s">
        <v>295</v>
      </c>
      <c r="R182" t="s">
        <v>296</v>
      </c>
      <c r="S182" t="s">
        <v>57</v>
      </c>
      <c r="T182" t="s">
        <v>35</v>
      </c>
      <c r="U182">
        <v>4</v>
      </c>
      <c r="V182">
        <v>62</v>
      </c>
      <c r="W182">
        <v>186</v>
      </c>
      <c r="X182">
        <v>15</v>
      </c>
      <c r="Y182">
        <v>632.4</v>
      </c>
      <c r="Z182">
        <v>384.4</v>
      </c>
      <c r="AA182" t="s">
        <v>36</v>
      </c>
      <c r="AB182" t="s">
        <v>44</v>
      </c>
      <c r="AC182">
        <v>4</v>
      </c>
      <c r="AD182" t="s">
        <v>105</v>
      </c>
      <c r="AE182" t="s">
        <v>20</v>
      </c>
      <c r="AF182" t="str">
        <f t="shared" si="5"/>
        <v>Yes</v>
      </c>
    </row>
    <row r="183" spans="1:32" x14ac:dyDescent="0.3">
      <c r="A183" t="s">
        <v>584</v>
      </c>
      <c r="B183" s="1">
        <v>45822</v>
      </c>
      <c r="C183" t="s">
        <v>474</v>
      </c>
      <c r="D183">
        <f t="shared" si="4"/>
        <v>12</v>
      </c>
      <c r="E183" t="s">
        <v>131</v>
      </c>
      <c r="F183" t="s">
        <v>48</v>
      </c>
      <c r="G183" t="s">
        <v>132</v>
      </c>
      <c r="H183" t="s">
        <v>24</v>
      </c>
      <c r="I183" t="s">
        <v>25</v>
      </c>
      <c r="J183" t="s">
        <v>26</v>
      </c>
      <c r="K183" t="s">
        <v>196</v>
      </c>
      <c r="L183" t="s">
        <v>585</v>
      </c>
      <c r="M183" t="s">
        <v>65</v>
      </c>
      <c r="N183" t="s">
        <v>30</v>
      </c>
      <c r="O183">
        <v>26</v>
      </c>
      <c r="P183" t="s">
        <v>31</v>
      </c>
      <c r="Q183" t="s">
        <v>92</v>
      </c>
      <c r="R183" t="s">
        <v>93</v>
      </c>
      <c r="S183" t="s">
        <v>94</v>
      </c>
      <c r="T183" t="s">
        <v>16</v>
      </c>
      <c r="U183">
        <v>4</v>
      </c>
      <c r="V183">
        <v>85</v>
      </c>
      <c r="W183">
        <v>255</v>
      </c>
      <c r="X183">
        <v>15</v>
      </c>
      <c r="Y183">
        <v>867</v>
      </c>
      <c r="Z183">
        <v>527</v>
      </c>
      <c r="AA183" t="s">
        <v>36</v>
      </c>
      <c r="AB183" t="s">
        <v>129</v>
      </c>
      <c r="AC183">
        <v>4</v>
      </c>
      <c r="AD183" t="s">
        <v>105</v>
      </c>
      <c r="AE183" t="s">
        <v>20</v>
      </c>
      <c r="AF183" t="str">
        <f t="shared" si="5"/>
        <v>Yes</v>
      </c>
    </row>
    <row r="184" spans="1:32" x14ac:dyDescent="0.3">
      <c r="A184" t="s">
        <v>586</v>
      </c>
      <c r="B184" s="1">
        <v>45726</v>
      </c>
      <c r="C184" t="s">
        <v>373</v>
      </c>
      <c r="D184">
        <f t="shared" si="4"/>
        <v>9</v>
      </c>
      <c r="E184" t="s">
        <v>72</v>
      </c>
      <c r="F184" t="s">
        <v>3</v>
      </c>
      <c r="G184" t="s">
        <v>23</v>
      </c>
      <c r="H184" t="s">
        <v>81</v>
      </c>
      <c r="I184" t="s">
        <v>82</v>
      </c>
      <c r="J184" t="s">
        <v>7</v>
      </c>
      <c r="K184" t="s">
        <v>83</v>
      </c>
      <c r="L184" t="s">
        <v>587</v>
      </c>
      <c r="M184" t="s">
        <v>184</v>
      </c>
      <c r="N184" t="s">
        <v>11</v>
      </c>
      <c r="O184">
        <v>54</v>
      </c>
      <c r="P184" t="s">
        <v>91</v>
      </c>
      <c r="Q184" t="s">
        <v>300</v>
      </c>
      <c r="R184" t="s">
        <v>301</v>
      </c>
      <c r="S184" t="s">
        <v>187</v>
      </c>
      <c r="T184" t="s">
        <v>35</v>
      </c>
      <c r="U184">
        <v>3</v>
      </c>
      <c r="V184">
        <v>86</v>
      </c>
      <c r="W184">
        <v>258</v>
      </c>
      <c r="X184">
        <v>10</v>
      </c>
      <c r="Y184">
        <v>696.6</v>
      </c>
      <c r="Z184">
        <v>438.6</v>
      </c>
      <c r="AA184" t="s">
        <v>43</v>
      </c>
      <c r="AB184" t="s">
        <v>18</v>
      </c>
      <c r="AC184">
        <v>4</v>
      </c>
      <c r="AD184" t="s">
        <v>19</v>
      </c>
      <c r="AE184" t="s">
        <v>20</v>
      </c>
      <c r="AF184" t="str">
        <f t="shared" si="5"/>
        <v>Yes</v>
      </c>
    </row>
    <row r="185" spans="1:32" x14ac:dyDescent="0.3">
      <c r="A185" t="s">
        <v>588</v>
      </c>
      <c r="B185" s="1">
        <v>45770</v>
      </c>
      <c r="C185" t="s">
        <v>340</v>
      </c>
      <c r="D185">
        <f t="shared" si="4"/>
        <v>17</v>
      </c>
      <c r="E185" t="s">
        <v>60</v>
      </c>
      <c r="F185" t="s">
        <v>48</v>
      </c>
      <c r="G185" t="s">
        <v>73</v>
      </c>
      <c r="H185" t="s">
        <v>49</v>
      </c>
      <c r="I185" t="s">
        <v>50</v>
      </c>
      <c r="J185" t="s">
        <v>7</v>
      </c>
      <c r="K185" t="s">
        <v>138</v>
      </c>
      <c r="L185" t="s">
        <v>589</v>
      </c>
      <c r="M185" t="s">
        <v>261</v>
      </c>
      <c r="N185" t="s">
        <v>30</v>
      </c>
      <c r="O185">
        <v>55</v>
      </c>
      <c r="P185" t="s">
        <v>91</v>
      </c>
      <c r="Q185" t="s">
        <v>147</v>
      </c>
      <c r="R185" t="s">
        <v>148</v>
      </c>
      <c r="S185" t="s">
        <v>136</v>
      </c>
      <c r="T185" t="s">
        <v>35</v>
      </c>
      <c r="U185">
        <v>3</v>
      </c>
      <c r="V185">
        <v>58</v>
      </c>
      <c r="W185">
        <v>174</v>
      </c>
      <c r="X185">
        <v>15</v>
      </c>
      <c r="Y185">
        <v>443.7</v>
      </c>
      <c r="Z185">
        <v>269.7</v>
      </c>
      <c r="AA185" t="s">
        <v>69</v>
      </c>
      <c r="AB185" t="s">
        <v>87</v>
      </c>
      <c r="AC185">
        <v>4</v>
      </c>
      <c r="AD185" t="s">
        <v>19</v>
      </c>
      <c r="AE185" t="s">
        <v>95</v>
      </c>
      <c r="AF185" t="str">
        <f t="shared" si="5"/>
        <v>No</v>
      </c>
    </row>
    <row r="186" spans="1:32" x14ac:dyDescent="0.3">
      <c r="A186" t="s">
        <v>590</v>
      </c>
      <c r="B186" s="1">
        <v>45677</v>
      </c>
      <c r="C186" t="s">
        <v>80</v>
      </c>
      <c r="D186">
        <f t="shared" si="4"/>
        <v>10</v>
      </c>
      <c r="E186" t="s">
        <v>2</v>
      </c>
      <c r="F186" t="s">
        <v>3</v>
      </c>
      <c r="G186" t="s">
        <v>23</v>
      </c>
      <c r="H186" t="s">
        <v>159</v>
      </c>
      <c r="I186" t="s">
        <v>160</v>
      </c>
      <c r="J186" t="s">
        <v>161</v>
      </c>
      <c r="K186" t="s">
        <v>153</v>
      </c>
      <c r="L186" t="s">
        <v>591</v>
      </c>
      <c r="M186" t="s">
        <v>184</v>
      </c>
      <c r="N186" t="s">
        <v>11</v>
      </c>
      <c r="O186">
        <v>60</v>
      </c>
      <c r="P186" t="s">
        <v>12</v>
      </c>
      <c r="Q186" t="s">
        <v>518</v>
      </c>
      <c r="R186" t="s">
        <v>519</v>
      </c>
      <c r="S186" t="s">
        <v>242</v>
      </c>
      <c r="T186" t="s">
        <v>35</v>
      </c>
      <c r="U186">
        <v>3</v>
      </c>
      <c r="V186">
        <v>88</v>
      </c>
      <c r="W186">
        <v>193.6</v>
      </c>
      <c r="X186">
        <v>0</v>
      </c>
      <c r="Y186">
        <v>580.79999999999995</v>
      </c>
      <c r="Z186">
        <v>316.8</v>
      </c>
      <c r="AA186" t="s">
        <v>43</v>
      </c>
      <c r="AB186" t="s">
        <v>87</v>
      </c>
      <c r="AC186">
        <v>5</v>
      </c>
      <c r="AD186" t="s">
        <v>105</v>
      </c>
      <c r="AE186" t="s">
        <v>95</v>
      </c>
      <c r="AF186" t="str">
        <f t="shared" si="5"/>
        <v>No</v>
      </c>
    </row>
    <row r="187" spans="1:32" x14ac:dyDescent="0.3">
      <c r="A187" t="s">
        <v>592</v>
      </c>
      <c r="B187" s="1">
        <v>45681</v>
      </c>
      <c r="C187" t="s">
        <v>1</v>
      </c>
      <c r="D187">
        <f t="shared" si="4"/>
        <v>19</v>
      </c>
      <c r="E187" t="s">
        <v>2</v>
      </c>
      <c r="F187" t="s">
        <v>3</v>
      </c>
      <c r="G187" t="s">
        <v>40</v>
      </c>
      <c r="H187" t="s">
        <v>5</v>
      </c>
      <c r="I187" t="s">
        <v>6</v>
      </c>
      <c r="J187" t="s">
        <v>7</v>
      </c>
      <c r="K187" t="s">
        <v>146</v>
      </c>
      <c r="L187" t="s">
        <v>593</v>
      </c>
      <c r="M187" t="s">
        <v>65</v>
      </c>
      <c r="N187" t="s">
        <v>30</v>
      </c>
      <c r="O187">
        <v>58</v>
      </c>
      <c r="P187" t="s">
        <v>12</v>
      </c>
      <c r="Q187" t="s">
        <v>358</v>
      </c>
      <c r="R187" t="s">
        <v>359</v>
      </c>
      <c r="S187" t="s">
        <v>15</v>
      </c>
      <c r="T187" t="s">
        <v>35</v>
      </c>
      <c r="U187">
        <v>2</v>
      </c>
      <c r="V187">
        <v>55</v>
      </c>
      <c r="W187">
        <v>137.5</v>
      </c>
      <c r="X187">
        <v>5</v>
      </c>
      <c r="Y187">
        <v>261.25</v>
      </c>
      <c r="Z187">
        <v>151.25</v>
      </c>
      <c r="AA187" t="s">
        <v>69</v>
      </c>
      <c r="AB187" t="s">
        <v>119</v>
      </c>
      <c r="AC187">
        <v>5</v>
      </c>
      <c r="AD187" t="s">
        <v>105</v>
      </c>
      <c r="AE187" t="s">
        <v>20</v>
      </c>
      <c r="AF187" t="str">
        <f t="shared" si="5"/>
        <v>Yes</v>
      </c>
    </row>
    <row r="188" spans="1:32" x14ac:dyDescent="0.3">
      <c r="A188" t="s">
        <v>594</v>
      </c>
      <c r="B188" s="1">
        <v>45780</v>
      </c>
      <c r="C188" t="s">
        <v>554</v>
      </c>
      <c r="D188">
        <f t="shared" si="4"/>
        <v>11</v>
      </c>
      <c r="E188" t="s">
        <v>47</v>
      </c>
      <c r="F188" t="s">
        <v>48</v>
      </c>
      <c r="G188" t="s">
        <v>132</v>
      </c>
      <c r="H188" t="s">
        <v>61</v>
      </c>
      <c r="I188" t="s">
        <v>62</v>
      </c>
      <c r="J188" t="s">
        <v>7</v>
      </c>
      <c r="K188" t="s">
        <v>146</v>
      </c>
      <c r="L188" t="s">
        <v>115</v>
      </c>
      <c r="M188" t="s">
        <v>10</v>
      </c>
      <c r="N188" t="s">
        <v>11</v>
      </c>
      <c r="O188">
        <v>63</v>
      </c>
      <c r="P188" t="s">
        <v>91</v>
      </c>
      <c r="Q188" t="s">
        <v>358</v>
      </c>
      <c r="R188" t="s">
        <v>359</v>
      </c>
      <c r="S188" t="s">
        <v>15</v>
      </c>
      <c r="T188" t="s">
        <v>35</v>
      </c>
      <c r="U188">
        <v>1</v>
      </c>
      <c r="V188">
        <v>55</v>
      </c>
      <c r="W188">
        <v>137.5</v>
      </c>
      <c r="X188">
        <v>0</v>
      </c>
      <c r="Y188">
        <v>137.5</v>
      </c>
      <c r="Z188">
        <v>82.5</v>
      </c>
      <c r="AA188" t="s">
        <v>36</v>
      </c>
      <c r="AB188" t="s">
        <v>18</v>
      </c>
      <c r="AC188">
        <v>5</v>
      </c>
      <c r="AD188" t="s">
        <v>105</v>
      </c>
      <c r="AE188" t="s">
        <v>20</v>
      </c>
      <c r="AF188" t="str">
        <f t="shared" si="5"/>
        <v>Yes</v>
      </c>
    </row>
    <row r="189" spans="1:32" x14ac:dyDescent="0.3">
      <c r="A189" t="s">
        <v>595</v>
      </c>
      <c r="B189" s="1">
        <v>45696</v>
      </c>
      <c r="C189" t="s">
        <v>1</v>
      </c>
      <c r="D189">
        <f t="shared" si="4"/>
        <v>19</v>
      </c>
      <c r="E189" t="s">
        <v>145</v>
      </c>
      <c r="F189" t="s">
        <v>3</v>
      </c>
      <c r="G189" t="s">
        <v>132</v>
      </c>
      <c r="H189" t="s">
        <v>5</v>
      </c>
      <c r="I189" t="s">
        <v>6</v>
      </c>
      <c r="J189" t="s">
        <v>7</v>
      </c>
      <c r="K189" t="s">
        <v>167</v>
      </c>
      <c r="L189" t="s">
        <v>521</v>
      </c>
      <c r="M189" t="s">
        <v>29</v>
      </c>
      <c r="N189" t="s">
        <v>11</v>
      </c>
      <c r="O189">
        <v>47</v>
      </c>
      <c r="P189" t="s">
        <v>76</v>
      </c>
      <c r="Q189" t="s">
        <v>230</v>
      </c>
      <c r="R189" t="s">
        <v>231</v>
      </c>
      <c r="S189" t="s">
        <v>128</v>
      </c>
      <c r="T189" t="s">
        <v>35</v>
      </c>
      <c r="U189">
        <v>4</v>
      </c>
      <c r="V189">
        <v>62</v>
      </c>
      <c r="W189">
        <v>186</v>
      </c>
      <c r="X189">
        <v>5</v>
      </c>
      <c r="Y189">
        <v>706.8</v>
      </c>
      <c r="Z189">
        <v>458.8</v>
      </c>
      <c r="AA189" t="s">
        <v>43</v>
      </c>
      <c r="AB189" t="s">
        <v>119</v>
      </c>
      <c r="AC189">
        <v>4</v>
      </c>
      <c r="AD189" t="s">
        <v>19</v>
      </c>
      <c r="AE189" t="s">
        <v>20</v>
      </c>
      <c r="AF189" t="str">
        <f t="shared" si="5"/>
        <v>Yes</v>
      </c>
    </row>
    <row r="190" spans="1:32" x14ac:dyDescent="0.3">
      <c r="A190" t="s">
        <v>596</v>
      </c>
      <c r="B190" s="1">
        <v>45820</v>
      </c>
      <c r="C190" t="s">
        <v>22</v>
      </c>
      <c r="D190">
        <f t="shared" si="4"/>
        <v>7</v>
      </c>
      <c r="E190" t="s">
        <v>131</v>
      </c>
      <c r="F190" t="s">
        <v>48</v>
      </c>
      <c r="G190" t="s">
        <v>98</v>
      </c>
      <c r="H190" t="s">
        <v>81</v>
      </c>
      <c r="I190" t="s">
        <v>82</v>
      </c>
      <c r="J190" t="s">
        <v>7</v>
      </c>
      <c r="K190" t="s">
        <v>51</v>
      </c>
      <c r="L190" t="s">
        <v>597</v>
      </c>
      <c r="M190" t="s">
        <v>225</v>
      </c>
      <c r="N190" t="s">
        <v>30</v>
      </c>
      <c r="O190">
        <v>21</v>
      </c>
      <c r="P190" t="s">
        <v>31</v>
      </c>
      <c r="Q190" t="s">
        <v>216</v>
      </c>
      <c r="R190" t="s">
        <v>217</v>
      </c>
      <c r="S190" t="s">
        <v>218</v>
      </c>
      <c r="T190" t="s">
        <v>35</v>
      </c>
      <c r="U190">
        <v>4</v>
      </c>
      <c r="V190">
        <v>67</v>
      </c>
      <c r="W190">
        <v>187.6</v>
      </c>
      <c r="X190">
        <v>5</v>
      </c>
      <c r="Y190">
        <v>712.88</v>
      </c>
      <c r="Z190">
        <v>444.88</v>
      </c>
      <c r="AA190" t="s">
        <v>43</v>
      </c>
      <c r="AB190" t="s">
        <v>18</v>
      </c>
      <c r="AC190">
        <v>4</v>
      </c>
      <c r="AD190" t="s">
        <v>19</v>
      </c>
      <c r="AE190" t="s">
        <v>20</v>
      </c>
      <c r="AF190" t="str">
        <f t="shared" si="5"/>
        <v>Yes</v>
      </c>
    </row>
    <row r="191" spans="1:32" x14ac:dyDescent="0.3">
      <c r="A191" t="s">
        <v>598</v>
      </c>
      <c r="B191" s="1">
        <v>45836</v>
      </c>
      <c r="C191" t="s">
        <v>214</v>
      </c>
      <c r="D191">
        <f t="shared" si="4"/>
        <v>7</v>
      </c>
      <c r="E191" t="s">
        <v>131</v>
      </c>
      <c r="F191" t="s">
        <v>48</v>
      </c>
      <c r="G191" t="s">
        <v>132</v>
      </c>
      <c r="H191" t="s">
        <v>5</v>
      </c>
      <c r="I191" t="s">
        <v>6</v>
      </c>
      <c r="J191" t="s">
        <v>7</v>
      </c>
      <c r="K191" t="s">
        <v>8</v>
      </c>
      <c r="L191" t="s">
        <v>75</v>
      </c>
      <c r="M191" t="s">
        <v>184</v>
      </c>
      <c r="N191" t="s">
        <v>11</v>
      </c>
      <c r="O191">
        <v>56</v>
      </c>
      <c r="P191" t="s">
        <v>54</v>
      </c>
      <c r="Q191" t="s">
        <v>291</v>
      </c>
      <c r="R191" t="s">
        <v>292</v>
      </c>
      <c r="S191" t="s">
        <v>242</v>
      </c>
      <c r="T191" t="s">
        <v>16</v>
      </c>
      <c r="U191">
        <v>1</v>
      </c>
      <c r="V191">
        <v>68</v>
      </c>
      <c r="W191">
        <v>204</v>
      </c>
      <c r="X191">
        <v>0</v>
      </c>
      <c r="Y191">
        <v>204</v>
      </c>
      <c r="Z191">
        <v>136</v>
      </c>
      <c r="AA191" t="s">
        <v>17</v>
      </c>
      <c r="AB191" t="s">
        <v>44</v>
      </c>
      <c r="AD191" t="s">
        <v>105</v>
      </c>
      <c r="AE191" t="s">
        <v>95</v>
      </c>
      <c r="AF191" t="str">
        <f t="shared" si="5"/>
        <v>No</v>
      </c>
    </row>
    <row r="192" spans="1:32" x14ac:dyDescent="0.3">
      <c r="A192" t="s">
        <v>599</v>
      </c>
      <c r="B192" s="1">
        <v>45694</v>
      </c>
      <c r="C192" t="s">
        <v>250</v>
      </c>
      <c r="D192">
        <f t="shared" si="4"/>
        <v>13</v>
      </c>
      <c r="E192" t="s">
        <v>145</v>
      </c>
      <c r="F192" t="s">
        <v>3</v>
      </c>
      <c r="G192" t="s">
        <v>98</v>
      </c>
      <c r="H192" t="s">
        <v>49</v>
      </c>
      <c r="I192" t="s">
        <v>50</v>
      </c>
      <c r="J192" t="s">
        <v>7</v>
      </c>
      <c r="K192" t="s">
        <v>182</v>
      </c>
      <c r="L192" t="s">
        <v>600</v>
      </c>
      <c r="M192" t="s">
        <v>225</v>
      </c>
      <c r="N192" t="s">
        <v>30</v>
      </c>
      <c r="O192">
        <v>50</v>
      </c>
      <c r="P192" t="s">
        <v>91</v>
      </c>
      <c r="Q192" t="s">
        <v>409</v>
      </c>
      <c r="R192" t="s">
        <v>410</v>
      </c>
      <c r="S192" t="s">
        <v>237</v>
      </c>
      <c r="T192" t="s">
        <v>16</v>
      </c>
      <c r="U192">
        <v>4</v>
      </c>
      <c r="V192">
        <v>26</v>
      </c>
      <c r="W192">
        <v>78</v>
      </c>
      <c r="X192">
        <v>15</v>
      </c>
      <c r="Y192">
        <v>265.2</v>
      </c>
      <c r="Z192">
        <v>161.19999999999999</v>
      </c>
      <c r="AA192" t="s">
        <v>36</v>
      </c>
      <c r="AB192" t="s">
        <v>129</v>
      </c>
      <c r="AC192">
        <v>3</v>
      </c>
      <c r="AD192" t="s">
        <v>105</v>
      </c>
      <c r="AE192" t="s">
        <v>20</v>
      </c>
      <c r="AF192" t="str">
        <f t="shared" si="5"/>
        <v>Yes</v>
      </c>
    </row>
    <row r="193" spans="1:32" x14ac:dyDescent="0.3">
      <c r="A193" t="s">
        <v>601</v>
      </c>
      <c r="B193" s="1">
        <v>45764</v>
      </c>
      <c r="C193" t="s">
        <v>399</v>
      </c>
      <c r="D193">
        <f t="shared" si="4"/>
        <v>20</v>
      </c>
      <c r="E193" t="s">
        <v>60</v>
      </c>
      <c r="F193" t="s">
        <v>48</v>
      </c>
      <c r="G193" t="s">
        <v>98</v>
      </c>
      <c r="H193" t="s">
        <v>5</v>
      </c>
      <c r="I193" t="s">
        <v>6</v>
      </c>
      <c r="J193" t="s">
        <v>7</v>
      </c>
      <c r="K193" t="s">
        <v>311</v>
      </c>
      <c r="L193" t="s">
        <v>523</v>
      </c>
      <c r="M193" t="s">
        <v>53</v>
      </c>
      <c r="N193" t="s">
        <v>11</v>
      </c>
      <c r="O193">
        <v>23</v>
      </c>
      <c r="P193" t="s">
        <v>12</v>
      </c>
      <c r="Q193" t="s">
        <v>295</v>
      </c>
      <c r="R193" t="s">
        <v>296</v>
      </c>
      <c r="S193" t="s">
        <v>57</v>
      </c>
      <c r="T193" t="s">
        <v>35</v>
      </c>
      <c r="U193">
        <v>3</v>
      </c>
      <c r="V193">
        <v>62</v>
      </c>
      <c r="W193">
        <v>186</v>
      </c>
      <c r="X193">
        <v>5</v>
      </c>
      <c r="Y193">
        <v>530.1</v>
      </c>
      <c r="Z193">
        <v>344.1</v>
      </c>
      <c r="AA193" t="s">
        <v>69</v>
      </c>
      <c r="AB193" t="s">
        <v>119</v>
      </c>
      <c r="AC193">
        <v>3</v>
      </c>
      <c r="AD193" t="s">
        <v>19</v>
      </c>
      <c r="AE193" t="s">
        <v>20</v>
      </c>
      <c r="AF193" t="str">
        <f t="shared" si="5"/>
        <v>Yes</v>
      </c>
    </row>
    <row r="194" spans="1:32" x14ac:dyDescent="0.3">
      <c r="A194" t="s">
        <v>602</v>
      </c>
      <c r="B194" s="1">
        <v>45729</v>
      </c>
      <c r="C194" t="s">
        <v>516</v>
      </c>
      <c r="D194">
        <f t="shared" ref="D194:D257" si="6">HOUR(C194)</f>
        <v>16</v>
      </c>
      <c r="E194" t="s">
        <v>72</v>
      </c>
      <c r="F194" t="s">
        <v>3</v>
      </c>
      <c r="G194" t="s">
        <v>98</v>
      </c>
      <c r="H194" t="s">
        <v>24</v>
      </c>
      <c r="I194" t="s">
        <v>25</v>
      </c>
      <c r="J194" t="s">
        <v>26</v>
      </c>
      <c r="K194" t="s">
        <v>167</v>
      </c>
      <c r="L194" t="s">
        <v>603</v>
      </c>
      <c r="M194" t="s">
        <v>29</v>
      </c>
      <c r="N194" t="s">
        <v>30</v>
      </c>
      <c r="O194">
        <v>62</v>
      </c>
      <c r="P194" t="s">
        <v>12</v>
      </c>
      <c r="Q194" t="s">
        <v>506</v>
      </c>
      <c r="R194" t="s">
        <v>507</v>
      </c>
      <c r="S194" t="s">
        <v>118</v>
      </c>
      <c r="T194" t="s">
        <v>16</v>
      </c>
      <c r="U194">
        <v>4</v>
      </c>
      <c r="V194">
        <v>39</v>
      </c>
      <c r="W194">
        <v>109.2</v>
      </c>
      <c r="X194">
        <v>5</v>
      </c>
      <c r="Y194">
        <v>414.96</v>
      </c>
      <c r="Z194">
        <v>258.95999999999998</v>
      </c>
      <c r="AA194" t="s">
        <v>17</v>
      </c>
      <c r="AB194" t="s">
        <v>87</v>
      </c>
      <c r="AD194" t="s">
        <v>105</v>
      </c>
      <c r="AE194" t="s">
        <v>20</v>
      </c>
      <c r="AF194" t="str">
        <f t="shared" si="5"/>
        <v>Yes</v>
      </c>
    </row>
    <row r="195" spans="1:32" x14ac:dyDescent="0.3">
      <c r="A195" t="s">
        <v>604</v>
      </c>
      <c r="B195" s="1">
        <v>45664</v>
      </c>
      <c r="C195" t="s">
        <v>425</v>
      </c>
      <c r="D195">
        <f t="shared" si="6"/>
        <v>15</v>
      </c>
      <c r="E195" t="s">
        <v>2</v>
      </c>
      <c r="F195" t="s">
        <v>3</v>
      </c>
      <c r="G195" t="s">
        <v>181</v>
      </c>
      <c r="H195" t="s">
        <v>99</v>
      </c>
      <c r="I195" t="s">
        <v>100</v>
      </c>
      <c r="J195" t="s">
        <v>101</v>
      </c>
      <c r="K195" t="s">
        <v>346</v>
      </c>
      <c r="L195" t="s">
        <v>593</v>
      </c>
      <c r="M195" t="s">
        <v>169</v>
      </c>
      <c r="N195" t="s">
        <v>30</v>
      </c>
      <c r="O195">
        <v>29</v>
      </c>
      <c r="P195" t="s">
        <v>31</v>
      </c>
      <c r="Q195" t="s">
        <v>605</v>
      </c>
      <c r="R195" t="s">
        <v>606</v>
      </c>
      <c r="S195" t="s">
        <v>237</v>
      </c>
      <c r="T195" t="s">
        <v>35</v>
      </c>
      <c r="U195">
        <v>1</v>
      </c>
      <c r="V195">
        <v>79</v>
      </c>
      <c r="W195">
        <v>173.8</v>
      </c>
      <c r="X195">
        <v>15</v>
      </c>
      <c r="Y195">
        <v>147.72999999999999</v>
      </c>
      <c r="Z195">
        <v>68.73</v>
      </c>
      <c r="AA195" t="s">
        <v>36</v>
      </c>
      <c r="AB195" t="s">
        <v>129</v>
      </c>
      <c r="AD195" t="s">
        <v>19</v>
      </c>
      <c r="AE195" t="s">
        <v>20</v>
      </c>
      <c r="AF195" t="str">
        <f t="shared" si="5"/>
        <v>Yes</v>
      </c>
    </row>
    <row r="196" spans="1:32" x14ac:dyDescent="0.3">
      <c r="A196" t="s">
        <v>607</v>
      </c>
      <c r="B196" s="1">
        <v>45760</v>
      </c>
      <c r="C196" t="s">
        <v>189</v>
      </c>
      <c r="D196">
        <f t="shared" si="6"/>
        <v>9</v>
      </c>
      <c r="E196" t="s">
        <v>60</v>
      </c>
      <c r="F196" t="s">
        <v>48</v>
      </c>
      <c r="G196" t="s">
        <v>4</v>
      </c>
      <c r="H196" t="s">
        <v>99</v>
      </c>
      <c r="I196" t="s">
        <v>100</v>
      </c>
      <c r="J196" t="s">
        <v>101</v>
      </c>
      <c r="K196" t="s">
        <v>311</v>
      </c>
      <c r="L196" t="s">
        <v>608</v>
      </c>
      <c r="M196" t="s">
        <v>140</v>
      </c>
      <c r="N196" t="s">
        <v>30</v>
      </c>
      <c r="O196">
        <v>44</v>
      </c>
      <c r="P196" t="s">
        <v>31</v>
      </c>
      <c r="Q196" t="s">
        <v>103</v>
      </c>
      <c r="R196" t="s">
        <v>104</v>
      </c>
      <c r="S196" t="s">
        <v>94</v>
      </c>
      <c r="T196" t="s">
        <v>35</v>
      </c>
      <c r="U196">
        <v>2</v>
      </c>
      <c r="V196">
        <v>57</v>
      </c>
      <c r="W196">
        <v>159.6</v>
      </c>
      <c r="X196">
        <v>10</v>
      </c>
      <c r="Y196">
        <v>287.27999999999997</v>
      </c>
      <c r="Z196">
        <v>173.28</v>
      </c>
      <c r="AA196" t="s">
        <v>36</v>
      </c>
      <c r="AB196" t="s">
        <v>129</v>
      </c>
      <c r="AC196">
        <v>3</v>
      </c>
      <c r="AD196" t="s">
        <v>19</v>
      </c>
      <c r="AE196" t="s">
        <v>20</v>
      </c>
      <c r="AF196" t="str">
        <f t="shared" ref="AF196:AF259" si="7">IF(AE196="Completed","Yes",IF(AE196="Cancelled","No","Review"))</f>
        <v>Yes</v>
      </c>
    </row>
    <row r="197" spans="1:32" x14ac:dyDescent="0.3">
      <c r="A197" t="s">
        <v>609</v>
      </c>
      <c r="B197" s="1">
        <v>45791</v>
      </c>
      <c r="C197" t="s">
        <v>340</v>
      </c>
      <c r="D197">
        <f t="shared" si="6"/>
        <v>17</v>
      </c>
      <c r="E197" t="s">
        <v>47</v>
      </c>
      <c r="F197" t="s">
        <v>48</v>
      </c>
      <c r="G197" t="s">
        <v>73</v>
      </c>
      <c r="H197" t="s">
        <v>99</v>
      </c>
      <c r="I197" t="s">
        <v>100</v>
      </c>
      <c r="J197" t="s">
        <v>101</v>
      </c>
      <c r="K197" t="s">
        <v>323</v>
      </c>
      <c r="L197" t="s">
        <v>418</v>
      </c>
      <c r="M197" t="s">
        <v>261</v>
      </c>
      <c r="N197" t="s">
        <v>30</v>
      </c>
      <c r="O197">
        <v>56</v>
      </c>
      <c r="P197" t="s">
        <v>12</v>
      </c>
      <c r="Q197" t="s">
        <v>364</v>
      </c>
      <c r="R197" t="s">
        <v>365</v>
      </c>
      <c r="S197" t="s">
        <v>187</v>
      </c>
      <c r="T197" t="s">
        <v>35</v>
      </c>
      <c r="U197">
        <v>1</v>
      </c>
      <c r="V197">
        <v>28</v>
      </c>
      <c r="W197">
        <v>84</v>
      </c>
      <c r="X197">
        <v>10</v>
      </c>
      <c r="Y197">
        <v>75.599999999999994</v>
      </c>
      <c r="Z197">
        <v>47.6</v>
      </c>
      <c r="AA197" t="s">
        <v>17</v>
      </c>
      <c r="AB197" t="s">
        <v>119</v>
      </c>
      <c r="AC197">
        <v>4</v>
      </c>
      <c r="AD197" t="s">
        <v>105</v>
      </c>
      <c r="AE197" t="s">
        <v>20</v>
      </c>
      <c r="AF197" t="str">
        <f t="shared" si="7"/>
        <v>Yes</v>
      </c>
    </row>
    <row r="198" spans="1:32" x14ac:dyDescent="0.3">
      <c r="A198" t="s">
        <v>610</v>
      </c>
      <c r="B198" s="1">
        <v>45687</v>
      </c>
      <c r="C198" t="s">
        <v>158</v>
      </c>
      <c r="D198">
        <f t="shared" si="6"/>
        <v>8</v>
      </c>
      <c r="E198" t="s">
        <v>2</v>
      </c>
      <c r="F198" t="s">
        <v>3</v>
      </c>
      <c r="G198" t="s">
        <v>98</v>
      </c>
      <c r="H198" t="s">
        <v>99</v>
      </c>
      <c r="I198" t="s">
        <v>100</v>
      </c>
      <c r="J198" t="s">
        <v>101</v>
      </c>
      <c r="K198" t="s">
        <v>245</v>
      </c>
      <c r="L198" t="s">
        <v>611</v>
      </c>
      <c r="M198" t="s">
        <v>10</v>
      </c>
      <c r="N198" t="s">
        <v>11</v>
      </c>
      <c r="O198">
        <v>62</v>
      </c>
      <c r="P198" t="s">
        <v>12</v>
      </c>
      <c r="Q198" t="s">
        <v>605</v>
      </c>
      <c r="R198" t="s">
        <v>606</v>
      </c>
      <c r="S198" t="s">
        <v>237</v>
      </c>
      <c r="T198" t="s">
        <v>35</v>
      </c>
      <c r="U198">
        <v>2</v>
      </c>
      <c r="V198">
        <v>79</v>
      </c>
      <c r="W198">
        <v>173.8</v>
      </c>
      <c r="X198">
        <v>5</v>
      </c>
      <c r="Y198">
        <v>330.22</v>
      </c>
      <c r="Z198">
        <v>172.22</v>
      </c>
      <c r="AA198" t="s">
        <v>69</v>
      </c>
      <c r="AB198" t="s">
        <v>129</v>
      </c>
      <c r="AC198">
        <v>4</v>
      </c>
      <c r="AD198" t="s">
        <v>19</v>
      </c>
      <c r="AE198" t="s">
        <v>20</v>
      </c>
      <c r="AF198" t="str">
        <f t="shared" si="7"/>
        <v>Yes</v>
      </c>
    </row>
    <row r="199" spans="1:32" x14ac:dyDescent="0.3">
      <c r="A199" t="s">
        <v>612</v>
      </c>
      <c r="B199" s="1">
        <v>45833</v>
      </c>
      <c r="C199" t="s">
        <v>71</v>
      </c>
      <c r="D199">
        <f t="shared" si="6"/>
        <v>10</v>
      </c>
      <c r="E199" t="s">
        <v>131</v>
      </c>
      <c r="F199" t="s">
        <v>48</v>
      </c>
      <c r="G199" t="s">
        <v>73</v>
      </c>
      <c r="H199" t="s">
        <v>61</v>
      </c>
      <c r="I199" t="s">
        <v>62</v>
      </c>
      <c r="J199" t="s">
        <v>7</v>
      </c>
      <c r="K199" t="s">
        <v>8</v>
      </c>
      <c r="L199" t="s">
        <v>102</v>
      </c>
      <c r="M199" t="s">
        <v>261</v>
      </c>
      <c r="N199" t="s">
        <v>11</v>
      </c>
      <c r="O199">
        <v>24</v>
      </c>
      <c r="P199" t="s">
        <v>76</v>
      </c>
      <c r="Q199" t="s">
        <v>109</v>
      </c>
      <c r="R199" t="s">
        <v>110</v>
      </c>
      <c r="S199" t="s">
        <v>111</v>
      </c>
      <c r="T199" t="s">
        <v>16</v>
      </c>
      <c r="U199">
        <v>2</v>
      </c>
      <c r="V199">
        <v>83</v>
      </c>
      <c r="W199">
        <v>182.6</v>
      </c>
      <c r="X199">
        <v>5</v>
      </c>
      <c r="Y199">
        <v>346.94</v>
      </c>
      <c r="Z199">
        <v>180.94</v>
      </c>
      <c r="AA199" t="s">
        <v>43</v>
      </c>
      <c r="AB199" t="s">
        <v>18</v>
      </c>
      <c r="AC199">
        <v>4</v>
      </c>
      <c r="AD199" t="s">
        <v>105</v>
      </c>
      <c r="AE199" t="s">
        <v>20</v>
      </c>
      <c r="AF199" t="str">
        <f t="shared" si="7"/>
        <v>Yes</v>
      </c>
    </row>
    <row r="200" spans="1:32" x14ac:dyDescent="0.3">
      <c r="A200" t="s">
        <v>613</v>
      </c>
      <c r="B200" s="1">
        <v>45726</v>
      </c>
      <c r="C200" t="s">
        <v>199</v>
      </c>
      <c r="D200">
        <f t="shared" si="6"/>
        <v>10</v>
      </c>
      <c r="E200" t="s">
        <v>72</v>
      </c>
      <c r="F200" t="s">
        <v>3</v>
      </c>
      <c r="G200" t="s">
        <v>23</v>
      </c>
      <c r="H200" t="s">
        <v>5</v>
      </c>
      <c r="I200" t="s">
        <v>6</v>
      </c>
      <c r="J200" t="s">
        <v>7</v>
      </c>
      <c r="K200" t="s">
        <v>74</v>
      </c>
      <c r="L200" t="s">
        <v>514</v>
      </c>
      <c r="M200" t="s">
        <v>169</v>
      </c>
      <c r="N200" t="s">
        <v>11</v>
      </c>
      <c r="O200">
        <v>33</v>
      </c>
      <c r="P200" t="s">
        <v>76</v>
      </c>
      <c r="Q200" t="s">
        <v>390</v>
      </c>
      <c r="R200" t="s">
        <v>391</v>
      </c>
      <c r="S200" t="s">
        <v>172</v>
      </c>
      <c r="T200" t="s">
        <v>16</v>
      </c>
      <c r="U200">
        <v>4</v>
      </c>
      <c r="V200">
        <v>69</v>
      </c>
      <c r="W200">
        <v>193.2</v>
      </c>
      <c r="X200">
        <v>0</v>
      </c>
      <c r="Y200">
        <v>772.8</v>
      </c>
      <c r="Z200">
        <v>496.8</v>
      </c>
      <c r="AA200" t="s">
        <v>69</v>
      </c>
      <c r="AB200" t="s">
        <v>18</v>
      </c>
      <c r="AD200" t="s">
        <v>19</v>
      </c>
      <c r="AE200" t="s">
        <v>95</v>
      </c>
      <c r="AF200" t="str">
        <f t="shared" si="7"/>
        <v>No</v>
      </c>
    </row>
    <row r="201" spans="1:32" x14ac:dyDescent="0.3">
      <c r="A201" t="s">
        <v>614</v>
      </c>
      <c r="B201" s="1">
        <v>45812</v>
      </c>
      <c r="C201" t="s">
        <v>158</v>
      </c>
      <c r="D201">
        <f t="shared" si="6"/>
        <v>8</v>
      </c>
      <c r="E201" t="s">
        <v>131</v>
      </c>
      <c r="F201" t="s">
        <v>48</v>
      </c>
      <c r="G201" t="s">
        <v>73</v>
      </c>
      <c r="H201" t="s">
        <v>24</v>
      </c>
      <c r="I201" t="s">
        <v>25</v>
      </c>
      <c r="J201" t="s">
        <v>26</v>
      </c>
      <c r="K201" t="s">
        <v>153</v>
      </c>
      <c r="L201" t="s">
        <v>615</v>
      </c>
      <c r="M201" t="s">
        <v>65</v>
      </c>
      <c r="N201" t="s">
        <v>30</v>
      </c>
      <c r="O201">
        <v>17</v>
      </c>
      <c r="P201" t="s">
        <v>76</v>
      </c>
      <c r="Q201" t="s">
        <v>211</v>
      </c>
      <c r="R201" t="s">
        <v>212</v>
      </c>
      <c r="S201" t="s">
        <v>128</v>
      </c>
      <c r="T201" t="s">
        <v>16</v>
      </c>
      <c r="U201">
        <v>3</v>
      </c>
      <c r="V201">
        <v>50</v>
      </c>
      <c r="W201">
        <v>140</v>
      </c>
      <c r="X201">
        <v>5</v>
      </c>
      <c r="Y201">
        <v>399</v>
      </c>
      <c r="Z201">
        <v>249</v>
      </c>
      <c r="AA201" t="s">
        <v>17</v>
      </c>
      <c r="AB201" t="s">
        <v>87</v>
      </c>
      <c r="AC201">
        <v>4</v>
      </c>
      <c r="AD201" t="s">
        <v>105</v>
      </c>
      <c r="AE201" t="s">
        <v>20</v>
      </c>
      <c r="AF201" t="str">
        <f t="shared" si="7"/>
        <v>Yes</v>
      </c>
    </row>
    <row r="202" spans="1:32" x14ac:dyDescent="0.3">
      <c r="A202" t="s">
        <v>616</v>
      </c>
      <c r="B202" s="1">
        <v>45686</v>
      </c>
      <c r="C202" t="s">
        <v>516</v>
      </c>
      <c r="D202">
        <f t="shared" si="6"/>
        <v>16</v>
      </c>
      <c r="E202" t="s">
        <v>2</v>
      </c>
      <c r="F202" t="s">
        <v>3</v>
      </c>
      <c r="G202" t="s">
        <v>73</v>
      </c>
      <c r="H202" t="s">
        <v>159</v>
      </c>
      <c r="I202" t="s">
        <v>160</v>
      </c>
      <c r="J202" t="s">
        <v>161</v>
      </c>
      <c r="K202" t="s">
        <v>124</v>
      </c>
      <c r="L202" t="s">
        <v>617</v>
      </c>
      <c r="M202" t="s">
        <v>169</v>
      </c>
      <c r="N202" t="s">
        <v>30</v>
      </c>
      <c r="O202">
        <v>33</v>
      </c>
      <c r="P202" t="s">
        <v>54</v>
      </c>
      <c r="Q202" t="s">
        <v>272</v>
      </c>
      <c r="R202" t="s">
        <v>273</v>
      </c>
      <c r="S202" t="s">
        <v>57</v>
      </c>
      <c r="T202" t="s">
        <v>16</v>
      </c>
      <c r="U202">
        <v>1</v>
      </c>
      <c r="V202">
        <v>55</v>
      </c>
      <c r="W202">
        <v>154</v>
      </c>
      <c r="X202">
        <v>0</v>
      </c>
      <c r="Y202">
        <v>154</v>
      </c>
      <c r="Z202">
        <v>99</v>
      </c>
      <c r="AA202" t="s">
        <v>36</v>
      </c>
      <c r="AB202" t="s">
        <v>87</v>
      </c>
      <c r="AC202">
        <v>4</v>
      </c>
      <c r="AD202" t="s">
        <v>105</v>
      </c>
      <c r="AE202" t="s">
        <v>20</v>
      </c>
      <c r="AF202" t="str">
        <f t="shared" si="7"/>
        <v>Yes</v>
      </c>
    </row>
    <row r="203" spans="1:32" x14ac:dyDescent="0.3">
      <c r="A203" t="s">
        <v>618</v>
      </c>
      <c r="B203" s="1">
        <v>45702</v>
      </c>
      <c r="C203" t="s">
        <v>546</v>
      </c>
      <c r="D203">
        <f t="shared" si="6"/>
        <v>21</v>
      </c>
      <c r="E203" t="s">
        <v>145</v>
      </c>
      <c r="F203" t="s">
        <v>3</v>
      </c>
      <c r="G203" t="s">
        <v>40</v>
      </c>
      <c r="H203" t="s">
        <v>122</v>
      </c>
      <c r="I203" t="s">
        <v>123</v>
      </c>
      <c r="J203" t="s">
        <v>7</v>
      </c>
      <c r="K203" t="s">
        <v>153</v>
      </c>
      <c r="L203" t="s">
        <v>619</v>
      </c>
      <c r="M203" t="s">
        <v>140</v>
      </c>
      <c r="N203" t="s">
        <v>30</v>
      </c>
      <c r="O203">
        <v>38</v>
      </c>
      <c r="P203" t="s">
        <v>54</v>
      </c>
      <c r="Q203" t="s">
        <v>295</v>
      </c>
      <c r="R203" t="s">
        <v>296</v>
      </c>
      <c r="S203" t="s">
        <v>57</v>
      </c>
      <c r="T203" t="s">
        <v>35</v>
      </c>
      <c r="U203">
        <v>1</v>
      </c>
      <c r="V203">
        <v>62</v>
      </c>
      <c r="W203">
        <v>186</v>
      </c>
      <c r="X203">
        <v>0</v>
      </c>
      <c r="Y203">
        <v>186</v>
      </c>
      <c r="Z203">
        <v>124</v>
      </c>
      <c r="AA203" t="s">
        <v>17</v>
      </c>
      <c r="AB203" t="s">
        <v>87</v>
      </c>
      <c r="AC203">
        <v>3</v>
      </c>
      <c r="AD203" t="s">
        <v>105</v>
      </c>
      <c r="AE203" t="s">
        <v>95</v>
      </c>
      <c r="AF203" t="str">
        <f t="shared" si="7"/>
        <v>No</v>
      </c>
    </row>
    <row r="204" spans="1:32" x14ac:dyDescent="0.3">
      <c r="A204" t="s">
        <v>620</v>
      </c>
      <c r="B204" s="1">
        <v>45722</v>
      </c>
      <c r="C204" t="s">
        <v>80</v>
      </c>
      <c r="D204">
        <f t="shared" si="6"/>
        <v>10</v>
      </c>
      <c r="E204" t="s">
        <v>72</v>
      </c>
      <c r="F204" t="s">
        <v>3</v>
      </c>
      <c r="G204" t="s">
        <v>98</v>
      </c>
      <c r="H204" t="s">
        <v>164</v>
      </c>
      <c r="I204" t="s">
        <v>165</v>
      </c>
      <c r="J204" t="s">
        <v>166</v>
      </c>
      <c r="K204" t="s">
        <v>74</v>
      </c>
      <c r="L204" t="s">
        <v>621</v>
      </c>
      <c r="M204" t="s">
        <v>140</v>
      </c>
      <c r="N204" t="s">
        <v>30</v>
      </c>
      <c r="O204">
        <v>43</v>
      </c>
      <c r="P204" t="s">
        <v>54</v>
      </c>
      <c r="Q204" t="s">
        <v>109</v>
      </c>
      <c r="R204" t="s">
        <v>110</v>
      </c>
      <c r="S204" t="s">
        <v>111</v>
      </c>
      <c r="T204" t="s">
        <v>16</v>
      </c>
      <c r="U204">
        <v>4</v>
      </c>
      <c r="V204">
        <v>83</v>
      </c>
      <c r="W204">
        <v>182.6</v>
      </c>
      <c r="X204">
        <v>0</v>
      </c>
      <c r="Y204">
        <v>730.4</v>
      </c>
      <c r="Z204">
        <v>398.4</v>
      </c>
      <c r="AA204" t="s">
        <v>43</v>
      </c>
      <c r="AB204" t="s">
        <v>37</v>
      </c>
      <c r="AC204">
        <v>4</v>
      </c>
      <c r="AD204" t="s">
        <v>19</v>
      </c>
      <c r="AE204" t="s">
        <v>20</v>
      </c>
      <c r="AF204" t="str">
        <f t="shared" si="7"/>
        <v>Yes</v>
      </c>
    </row>
    <row r="205" spans="1:32" x14ac:dyDescent="0.3">
      <c r="A205" t="s">
        <v>622</v>
      </c>
      <c r="B205" s="1">
        <v>45802</v>
      </c>
      <c r="C205" t="s">
        <v>322</v>
      </c>
      <c r="D205">
        <f t="shared" si="6"/>
        <v>10</v>
      </c>
      <c r="E205" t="s">
        <v>47</v>
      </c>
      <c r="F205" t="s">
        <v>48</v>
      </c>
      <c r="G205" t="s">
        <v>4</v>
      </c>
      <c r="H205" t="s">
        <v>150</v>
      </c>
      <c r="I205" t="s">
        <v>151</v>
      </c>
      <c r="J205" t="s">
        <v>152</v>
      </c>
      <c r="K205" t="s">
        <v>41</v>
      </c>
      <c r="L205" t="s">
        <v>623</v>
      </c>
      <c r="M205" t="s">
        <v>53</v>
      </c>
      <c r="N205" t="s">
        <v>30</v>
      </c>
      <c r="O205">
        <v>29</v>
      </c>
      <c r="P205" t="s">
        <v>31</v>
      </c>
      <c r="Q205" t="s">
        <v>280</v>
      </c>
      <c r="R205" t="s">
        <v>281</v>
      </c>
      <c r="S205" t="s">
        <v>218</v>
      </c>
      <c r="T205" t="s">
        <v>16</v>
      </c>
      <c r="U205">
        <v>3</v>
      </c>
      <c r="V205">
        <v>34</v>
      </c>
      <c r="W205">
        <v>74.8</v>
      </c>
      <c r="X205">
        <v>15</v>
      </c>
      <c r="Y205">
        <v>190.74</v>
      </c>
      <c r="Z205">
        <v>88.74</v>
      </c>
      <c r="AA205" t="s">
        <v>43</v>
      </c>
      <c r="AB205" t="s">
        <v>119</v>
      </c>
      <c r="AC205">
        <v>5</v>
      </c>
      <c r="AD205" t="s">
        <v>105</v>
      </c>
      <c r="AE205" t="s">
        <v>95</v>
      </c>
      <c r="AF205" t="str">
        <f t="shared" si="7"/>
        <v>No</v>
      </c>
    </row>
    <row r="206" spans="1:32" x14ac:dyDescent="0.3">
      <c r="A206" t="s">
        <v>624</v>
      </c>
      <c r="B206" s="1">
        <v>45705</v>
      </c>
      <c r="C206" t="s">
        <v>377</v>
      </c>
      <c r="D206">
        <f t="shared" si="6"/>
        <v>21</v>
      </c>
      <c r="E206" t="s">
        <v>145</v>
      </c>
      <c r="F206" t="s">
        <v>3</v>
      </c>
      <c r="G206" t="s">
        <v>23</v>
      </c>
      <c r="H206" t="s">
        <v>159</v>
      </c>
      <c r="I206" t="s">
        <v>160</v>
      </c>
      <c r="J206" t="s">
        <v>161</v>
      </c>
      <c r="K206" t="s">
        <v>138</v>
      </c>
      <c r="L206" t="s">
        <v>487</v>
      </c>
      <c r="M206" t="s">
        <v>169</v>
      </c>
      <c r="N206" t="s">
        <v>30</v>
      </c>
      <c r="O206">
        <v>30</v>
      </c>
      <c r="P206" t="s">
        <v>12</v>
      </c>
      <c r="Q206" t="s">
        <v>300</v>
      </c>
      <c r="R206" t="s">
        <v>301</v>
      </c>
      <c r="S206" t="s">
        <v>187</v>
      </c>
      <c r="T206" t="s">
        <v>35</v>
      </c>
      <c r="U206">
        <v>4</v>
      </c>
      <c r="V206">
        <v>86</v>
      </c>
      <c r="W206">
        <v>258</v>
      </c>
      <c r="X206">
        <v>10</v>
      </c>
      <c r="Y206">
        <v>928.8</v>
      </c>
      <c r="Z206">
        <v>584.79999999999995</v>
      </c>
      <c r="AA206" t="s">
        <v>17</v>
      </c>
      <c r="AB206" t="s">
        <v>18</v>
      </c>
      <c r="AC206">
        <v>4</v>
      </c>
      <c r="AD206" t="s">
        <v>105</v>
      </c>
      <c r="AE206" t="s">
        <v>20</v>
      </c>
      <c r="AF206" t="str">
        <f t="shared" si="7"/>
        <v>Yes</v>
      </c>
    </row>
    <row r="207" spans="1:32" x14ac:dyDescent="0.3">
      <c r="A207" t="s">
        <v>625</v>
      </c>
      <c r="B207" s="1">
        <v>45772</v>
      </c>
      <c r="C207" t="s">
        <v>97</v>
      </c>
      <c r="D207">
        <f t="shared" si="6"/>
        <v>7</v>
      </c>
      <c r="E207" t="s">
        <v>60</v>
      </c>
      <c r="F207" t="s">
        <v>48</v>
      </c>
      <c r="G207" t="s">
        <v>40</v>
      </c>
      <c r="H207" t="s">
        <v>159</v>
      </c>
      <c r="I207" t="s">
        <v>160</v>
      </c>
      <c r="J207" t="s">
        <v>161</v>
      </c>
      <c r="K207" t="s">
        <v>138</v>
      </c>
      <c r="L207" t="s">
        <v>423</v>
      </c>
      <c r="M207" t="s">
        <v>162</v>
      </c>
      <c r="N207" t="s">
        <v>11</v>
      </c>
      <c r="O207">
        <v>20</v>
      </c>
      <c r="P207" t="s">
        <v>76</v>
      </c>
      <c r="Q207" t="s">
        <v>13</v>
      </c>
      <c r="R207" t="s">
        <v>14</v>
      </c>
      <c r="S207" t="s">
        <v>15</v>
      </c>
      <c r="T207" t="s">
        <v>16</v>
      </c>
      <c r="U207">
        <v>3</v>
      </c>
      <c r="V207">
        <v>43</v>
      </c>
      <c r="W207">
        <v>129</v>
      </c>
      <c r="X207">
        <v>0</v>
      </c>
      <c r="Y207">
        <v>387</v>
      </c>
      <c r="Z207">
        <v>258</v>
      </c>
      <c r="AA207" t="s">
        <v>179</v>
      </c>
      <c r="AB207" t="s">
        <v>119</v>
      </c>
      <c r="AC207">
        <v>4</v>
      </c>
      <c r="AD207" t="s">
        <v>19</v>
      </c>
      <c r="AE207" t="s">
        <v>20</v>
      </c>
      <c r="AF207" t="str">
        <f t="shared" si="7"/>
        <v>Yes</v>
      </c>
    </row>
    <row r="208" spans="1:32" x14ac:dyDescent="0.3">
      <c r="A208" t="s">
        <v>626</v>
      </c>
      <c r="B208" s="1">
        <v>45755</v>
      </c>
      <c r="C208" t="s">
        <v>80</v>
      </c>
      <c r="D208">
        <f t="shared" si="6"/>
        <v>10</v>
      </c>
      <c r="E208" t="s">
        <v>60</v>
      </c>
      <c r="F208" t="s">
        <v>48</v>
      </c>
      <c r="G208" t="s">
        <v>181</v>
      </c>
      <c r="H208" t="s">
        <v>150</v>
      </c>
      <c r="I208" t="s">
        <v>151</v>
      </c>
      <c r="J208" t="s">
        <v>152</v>
      </c>
      <c r="K208" t="s">
        <v>153</v>
      </c>
      <c r="L208" t="s">
        <v>454</v>
      </c>
      <c r="M208" t="s">
        <v>225</v>
      </c>
      <c r="N208" t="s">
        <v>11</v>
      </c>
      <c r="O208">
        <v>34</v>
      </c>
      <c r="P208" t="s">
        <v>12</v>
      </c>
      <c r="Q208" t="s">
        <v>193</v>
      </c>
      <c r="R208" t="s">
        <v>194</v>
      </c>
      <c r="S208" t="s">
        <v>172</v>
      </c>
      <c r="T208" t="s">
        <v>35</v>
      </c>
      <c r="U208">
        <v>3</v>
      </c>
      <c r="V208">
        <v>35</v>
      </c>
      <c r="W208">
        <v>87.5</v>
      </c>
      <c r="X208">
        <v>0</v>
      </c>
      <c r="Y208">
        <v>262.5</v>
      </c>
      <c r="Z208">
        <v>157.5</v>
      </c>
      <c r="AA208" t="s">
        <v>36</v>
      </c>
      <c r="AB208" t="s">
        <v>44</v>
      </c>
      <c r="AC208">
        <v>4</v>
      </c>
      <c r="AD208" t="s">
        <v>105</v>
      </c>
      <c r="AE208" t="s">
        <v>20</v>
      </c>
      <c r="AF208" t="str">
        <f t="shared" si="7"/>
        <v>Yes</v>
      </c>
    </row>
    <row r="209" spans="1:32" x14ac:dyDescent="0.3">
      <c r="A209" t="s">
        <v>627</v>
      </c>
      <c r="B209" s="1">
        <v>45667</v>
      </c>
      <c r="C209" t="s">
        <v>189</v>
      </c>
      <c r="D209">
        <f t="shared" si="6"/>
        <v>9</v>
      </c>
      <c r="E209" t="s">
        <v>2</v>
      </c>
      <c r="F209" t="s">
        <v>3</v>
      </c>
      <c r="G209" t="s">
        <v>40</v>
      </c>
      <c r="H209" t="s">
        <v>122</v>
      </c>
      <c r="I209" t="s">
        <v>123</v>
      </c>
      <c r="J209" t="s">
        <v>7</v>
      </c>
      <c r="K209" t="s">
        <v>63</v>
      </c>
      <c r="L209" t="s">
        <v>628</v>
      </c>
      <c r="M209" t="s">
        <v>65</v>
      </c>
      <c r="N209" t="s">
        <v>30</v>
      </c>
      <c r="O209">
        <v>52</v>
      </c>
      <c r="P209" t="s">
        <v>31</v>
      </c>
      <c r="Q209" t="s">
        <v>147</v>
      </c>
      <c r="R209" t="s">
        <v>148</v>
      </c>
      <c r="S209" t="s">
        <v>136</v>
      </c>
      <c r="T209" t="s">
        <v>35</v>
      </c>
      <c r="U209">
        <v>3</v>
      </c>
      <c r="V209">
        <v>58</v>
      </c>
      <c r="W209">
        <v>174</v>
      </c>
      <c r="X209">
        <v>0</v>
      </c>
      <c r="Y209">
        <v>522</v>
      </c>
      <c r="Z209">
        <v>348</v>
      </c>
      <c r="AA209" t="s">
        <v>17</v>
      </c>
      <c r="AB209" t="s">
        <v>37</v>
      </c>
      <c r="AC209">
        <v>4</v>
      </c>
      <c r="AD209" t="s">
        <v>105</v>
      </c>
      <c r="AE209" t="s">
        <v>20</v>
      </c>
      <c r="AF209" t="str">
        <f t="shared" si="7"/>
        <v>Yes</v>
      </c>
    </row>
    <row r="210" spans="1:32" x14ac:dyDescent="0.3">
      <c r="A210" t="s">
        <v>629</v>
      </c>
      <c r="B210" s="1">
        <v>45703</v>
      </c>
      <c r="C210" t="s">
        <v>351</v>
      </c>
      <c r="D210">
        <f t="shared" si="6"/>
        <v>9</v>
      </c>
      <c r="E210" t="s">
        <v>145</v>
      </c>
      <c r="F210" t="s">
        <v>3</v>
      </c>
      <c r="G210" t="s">
        <v>132</v>
      </c>
      <c r="H210" t="s">
        <v>159</v>
      </c>
      <c r="I210" t="s">
        <v>160</v>
      </c>
      <c r="J210" t="s">
        <v>161</v>
      </c>
      <c r="K210" t="s">
        <v>107</v>
      </c>
      <c r="L210" t="s">
        <v>630</v>
      </c>
      <c r="M210" t="s">
        <v>184</v>
      </c>
      <c r="N210" t="s">
        <v>30</v>
      </c>
      <c r="O210">
        <v>32</v>
      </c>
      <c r="P210" t="s">
        <v>31</v>
      </c>
      <c r="Q210" t="s">
        <v>370</v>
      </c>
      <c r="R210" t="s">
        <v>371</v>
      </c>
      <c r="S210" t="s">
        <v>111</v>
      </c>
      <c r="T210" t="s">
        <v>35</v>
      </c>
      <c r="U210">
        <v>1</v>
      </c>
      <c r="V210">
        <v>99</v>
      </c>
      <c r="W210">
        <v>247.5</v>
      </c>
      <c r="X210">
        <v>15</v>
      </c>
      <c r="Y210">
        <v>210.38</v>
      </c>
      <c r="Z210">
        <v>111.38</v>
      </c>
      <c r="AA210" t="s">
        <v>17</v>
      </c>
      <c r="AB210" t="s">
        <v>18</v>
      </c>
      <c r="AC210">
        <v>3</v>
      </c>
      <c r="AD210" t="s">
        <v>19</v>
      </c>
      <c r="AE210" t="s">
        <v>20</v>
      </c>
      <c r="AF210" t="str">
        <f t="shared" si="7"/>
        <v>Yes</v>
      </c>
    </row>
    <row r="211" spans="1:32" x14ac:dyDescent="0.3">
      <c r="A211" t="s">
        <v>631</v>
      </c>
      <c r="B211" s="1">
        <v>45801</v>
      </c>
      <c r="C211" t="s">
        <v>199</v>
      </c>
      <c r="D211">
        <f t="shared" si="6"/>
        <v>10</v>
      </c>
      <c r="E211" t="s">
        <v>47</v>
      </c>
      <c r="F211" t="s">
        <v>48</v>
      </c>
      <c r="G211" t="s">
        <v>132</v>
      </c>
      <c r="H211" t="s">
        <v>5</v>
      </c>
      <c r="I211" t="s">
        <v>6</v>
      </c>
      <c r="J211" t="s">
        <v>7</v>
      </c>
      <c r="K211" t="s">
        <v>51</v>
      </c>
      <c r="L211" t="s">
        <v>42</v>
      </c>
      <c r="M211" t="s">
        <v>162</v>
      </c>
      <c r="N211" t="s">
        <v>11</v>
      </c>
      <c r="O211">
        <v>55</v>
      </c>
      <c r="P211" t="s">
        <v>91</v>
      </c>
      <c r="Q211" t="s">
        <v>204</v>
      </c>
      <c r="R211" t="s">
        <v>205</v>
      </c>
      <c r="S211" t="s">
        <v>118</v>
      </c>
      <c r="T211" t="s">
        <v>35</v>
      </c>
      <c r="U211">
        <v>1</v>
      </c>
      <c r="V211">
        <v>59</v>
      </c>
      <c r="W211">
        <v>177</v>
      </c>
      <c r="X211">
        <v>5</v>
      </c>
      <c r="Y211">
        <v>168.15</v>
      </c>
      <c r="Z211">
        <v>109.15</v>
      </c>
      <c r="AA211" t="s">
        <v>43</v>
      </c>
      <c r="AB211" t="s">
        <v>44</v>
      </c>
      <c r="AC211">
        <v>5</v>
      </c>
      <c r="AD211" t="s">
        <v>105</v>
      </c>
      <c r="AE211" t="s">
        <v>95</v>
      </c>
      <c r="AF211" t="str">
        <f t="shared" si="7"/>
        <v>No</v>
      </c>
    </row>
    <row r="212" spans="1:32" x14ac:dyDescent="0.3">
      <c r="A212" t="s">
        <v>632</v>
      </c>
      <c r="B212" s="1">
        <v>45829</v>
      </c>
      <c r="C212" t="s">
        <v>158</v>
      </c>
      <c r="D212">
        <f t="shared" si="6"/>
        <v>8</v>
      </c>
      <c r="E212" t="s">
        <v>131</v>
      </c>
      <c r="F212" t="s">
        <v>48</v>
      </c>
      <c r="G212" t="s">
        <v>132</v>
      </c>
      <c r="H212" t="s">
        <v>150</v>
      </c>
      <c r="I212" t="s">
        <v>151</v>
      </c>
      <c r="J212" t="s">
        <v>152</v>
      </c>
      <c r="K212" t="s">
        <v>245</v>
      </c>
      <c r="L212" t="s">
        <v>400</v>
      </c>
      <c r="M212" t="s">
        <v>225</v>
      </c>
      <c r="N212" t="s">
        <v>11</v>
      </c>
      <c r="O212">
        <v>31</v>
      </c>
      <c r="P212" t="s">
        <v>54</v>
      </c>
      <c r="Q212" t="s">
        <v>313</v>
      </c>
      <c r="R212" t="s">
        <v>314</v>
      </c>
      <c r="S212" t="s">
        <v>128</v>
      </c>
      <c r="T212" t="s">
        <v>35</v>
      </c>
      <c r="U212">
        <v>3</v>
      </c>
      <c r="V212">
        <v>81</v>
      </c>
      <c r="W212">
        <v>202.5</v>
      </c>
      <c r="X212">
        <v>5</v>
      </c>
      <c r="Y212">
        <v>577.12</v>
      </c>
      <c r="Z212">
        <v>334.12</v>
      </c>
      <c r="AA212" t="s">
        <v>43</v>
      </c>
      <c r="AB212" t="s">
        <v>87</v>
      </c>
      <c r="AC212">
        <v>4</v>
      </c>
      <c r="AD212" t="s">
        <v>19</v>
      </c>
      <c r="AE212" t="s">
        <v>20</v>
      </c>
      <c r="AF212" t="str">
        <f t="shared" si="7"/>
        <v>Yes</v>
      </c>
    </row>
    <row r="213" spans="1:32" x14ac:dyDescent="0.3">
      <c r="A213" t="s">
        <v>633</v>
      </c>
      <c r="B213" s="1">
        <v>45741</v>
      </c>
      <c r="C213" t="s">
        <v>407</v>
      </c>
      <c r="D213">
        <f t="shared" si="6"/>
        <v>8</v>
      </c>
      <c r="E213" t="s">
        <v>72</v>
      </c>
      <c r="F213" t="s">
        <v>3</v>
      </c>
      <c r="G213" t="s">
        <v>181</v>
      </c>
      <c r="H213" t="s">
        <v>61</v>
      </c>
      <c r="I213" t="s">
        <v>62</v>
      </c>
      <c r="J213" t="s">
        <v>7</v>
      </c>
      <c r="K213" t="s">
        <v>124</v>
      </c>
      <c r="L213" t="s">
        <v>634</v>
      </c>
      <c r="M213" t="s">
        <v>53</v>
      </c>
      <c r="N213" t="s">
        <v>30</v>
      </c>
      <c r="O213">
        <v>22</v>
      </c>
      <c r="P213" t="s">
        <v>54</v>
      </c>
      <c r="Q213" t="s">
        <v>147</v>
      </c>
      <c r="R213" t="s">
        <v>148</v>
      </c>
      <c r="S213" t="s">
        <v>136</v>
      </c>
      <c r="T213" t="s">
        <v>35</v>
      </c>
      <c r="U213">
        <v>3</v>
      </c>
      <c r="V213">
        <v>58</v>
      </c>
      <c r="W213">
        <v>174</v>
      </c>
      <c r="X213">
        <v>15</v>
      </c>
      <c r="Y213">
        <v>443.7</v>
      </c>
      <c r="Z213">
        <v>269.7</v>
      </c>
      <c r="AA213" t="s">
        <v>17</v>
      </c>
      <c r="AB213" t="s">
        <v>87</v>
      </c>
      <c r="AC213">
        <v>3</v>
      </c>
      <c r="AD213" t="s">
        <v>105</v>
      </c>
      <c r="AE213" t="s">
        <v>20</v>
      </c>
      <c r="AF213" t="str">
        <f t="shared" si="7"/>
        <v>Yes</v>
      </c>
    </row>
    <row r="214" spans="1:32" x14ac:dyDescent="0.3">
      <c r="A214" t="s">
        <v>635</v>
      </c>
      <c r="B214" s="1">
        <v>45658</v>
      </c>
      <c r="C214" t="s">
        <v>373</v>
      </c>
      <c r="D214">
        <f t="shared" si="6"/>
        <v>9</v>
      </c>
      <c r="E214" t="s">
        <v>2</v>
      </c>
      <c r="F214" t="s">
        <v>3</v>
      </c>
      <c r="G214" t="s">
        <v>73</v>
      </c>
      <c r="H214" t="s">
        <v>81</v>
      </c>
      <c r="I214" t="s">
        <v>82</v>
      </c>
      <c r="J214" t="s">
        <v>7</v>
      </c>
      <c r="K214" t="s">
        <v>306</v>
      </c>
      <c r="L214" t="s">
        <v>394</v>
      </c>
      <c r="M214" t="s">
        <v>225</v>
      </c>
      <c r="N214" t="s">
        <v>30</v>
      </c>
      <c r="O214">
        <v>23</v>
      </c>
      <c r="P214" t="s">
        <v>12</v>
      </c>
      <c r="Q214" t="s">
        <v>155</v>
      </c>
      <c r="R214" t="s">
        <v>156</v>
      </c>
      <c r="S214" t="s">
        <v>34</v>
      </c>
      <c r="T214" t="s">
        <v>16</v>
      </c>
      <c r="U214">
        <v>1</v>
      </c>
      <c r="V214">
        <v>40</v>
      </c>
      <c r="W214">
        <v>100</v>
      </c>
      <c r="X214">
        <v>15</v>
      </c>
      <c r="Y214">
        <v>85</v>
      </c>
      <c r="Z214">
        <v>45</v>
      </c>
      <c r="AA214" t="s">
        <v>43</v>
      </c>
      <c r="AB214" t="s">
        <v>37</v>
      </c>
      <c r="AC214">
        <v>3</v>
      </c>
      <c r="AD214" t="s">
        <v>105</v>
      </c>
      <c r="AE214" t="s">
        <v>20</v>
      </c>
      <c r="AF214" t="str">
        <f t="shared" si="7"/>
        <v>Yes</v>
      </c>
    </row>
    <row r="215" spans="1:32" x14ac:dyDescent="0.3">
      <c r="A215" t="s">
        <v>636</v>
      </c>
      <c r="B215" s="1">
        <v>45716</v>
      </c>
      <c r="C215" t="s">
        <v>337</v>
      </c>
      <c r="D215">
        <f t="shared" si="6"/>
        <v>17</v>
      </c>
      <c r="E215" t="s">
        <v>145</v>
      </c>
      <c r="F215" t="s">
        <v>3</v>
      </c>
      <c r="G215" t="s">
        <v>40</v>
      </c>
      <c r="H215" t="s">
        <v>150</v>
      </c>
      <c r="I215" t="s">
        <v>151</v>
      </c>
      <c r="J215" t="s">
        <v>152</v>
      </c>
      <c r="K215" t="s">
        <v>229</v>
      </c>
      <c r="L215" t="s">
        <v>386</v>
      </c>
      <c r="M215" t="s">
        <v>29</v>
      </c>
      <c r="N215" t="s">
        <v>11</v>
      </c>
      <c r="O215">
        <v>52</v>
      </c>
      <c r="P215" t="s">
        <v>76</v>
      </c>
      <c r="Q215" t="s">
        <v>313</v>
      </c>
      <c r="R215" t="s">
        <v>314</v>
      </c>
      <c r="S215" t="s">
        <v>128</v>
      </c>
      <c r="T215" t="s">
        <v>35</v>
      </c>
      <c r="U215">
        <v>3</v>
      </c>
      <c r="V215">
        <v>81</v>
      </c>
      <c r="W215">
        <v>202.5</v>
      </c>
      <c r="X215">
        <v>10</v>
      </c>
      <c r="Y215">
        <v>546.75</v>
      </c>
      <c r="Z215">
        <v>303.75</v>
      </c>
      <c r="AA215" t="s">
        <v>36</v>
      </c>
      <c r="AB215" t="s">
        <v>87</v>
      </c>
      <c r="AC215">
        <v>4</v>
      </c>
      <c r="AD215" t="s">
        <v>105</v>
      </c>
      <c r="AE215" t="s">
        <v>20</v>
      </c>
      <c r="AF215" t="str">
        <f t="shared" si="7"/>
        <v>Yes</v>
      </c>
    </row>
    <row r="216" spans="1:32" x14ac:dyDescent="0.3">
      <c r="A216" t="s">
        <v>637</v>
      </c>
      <c r="B216" s="1">
        <v>45724</v>
      </c>
      <c r="C216" t="s">
        <v>425</v>
      </c>
      <c r="D216">
        <f t="shared" si="6"/>
        <v>15</v>
      </c>
      <c r="E216" t="s">
        <v>72</v>
      </c>
      <c r="F216" t="s">
        <v>3</v>
      </c>
      <c r="G216" t="s">
        <v>132</v>
      </c>
      <c r="H216" t="s">
        <v>164</v>
      </c>
      <c r="I216" t="s">
        <v>165</v>
      </c>
      <c r="J216" t="s">
        <v>166</v>
      </c>
      <c r="K216" t="s">
        <v>153</v>
      </c>
      <c r="L216" t="s">
        <v>357</v>
      </c>
      <c r="M216" t="s">
        <v>29</v>
      </c>
      <c r="N216" t="s">
        <v>30</v>
      </c>
      <c r="O216">
        <v>17</v>
      </c>
      <c r="P216" t="s">
        <v>31</v>
      </c>
      <c r="Q216" t="s">
        <v>262</v>
      </c>
      <c r="R216" t="s">
        <v>263</v>
      </c>
      <c r="S216" t="s">
        <v>218</v>
      </c>
      <c r="T216" t="s">
        <v>35</v>
      </c>
      <c r="U216">
        <v>2</v>
      </c>
      <c r="V216">
        <v>40</v>
      </c>
      <c r="W216">
        <v>112</v>
      </c>
      <c r="X216">
        <v>10</v>
      </c>
      <c r="Y216">
        <v>201.6</v>
      </c>
      <c r="Z216">
        <v>121.6</v>
      </c>
      <c r="AA216" t="s">
        <v>17</v>
      </c>
      <c r="AB216" t="s">
        <v>129</v>
      </c>
      <c r="AD216" t="s">
        <v>19</v>
      </c>
      <c r="AE216" t="s">
        <v>20</v>
      </c>
      <c r="AF216" t="str">
        <f t="shared" si="7"/>
        <v>Yes</v>
      </c>
    </row>
    <row r="217" spans="1:32" x14ac:dyDescent="0.3">
      <c r="A217" t="s">
        <v>638</v>
      </c>
      <c r="B217" s="1">
        <v>45677</v>
      </c>
      <c r="C217" t="s">
        <v>1</v>
      </c>
      <c r="D217">
        <f t="shared" si="6"/>
        <v>19</v>
      </c>
      <c r="E217" t="s">
        <v>2</v>
      </c>
      <c r="F217" t="s">
        <v>3</v>
      </c>
      <c r="G217" t="s">
        <v>23</v>
      </c>
      <c r="H217" t="s">
        <v>81</v>
      </c>
      <c r="I217" t="s">
        <v>82</v>
      </c>
      <c r="J217" t="s">
        <v>7</v>
      </c>
      <c r="K217" t="s">
        <v>114</v>
      </c>
      <c r="L217" t="s">
        <v>397</v>
      </c>
      <c r="M217" t="s">
        <v>169</v>
      </c>
      <c r="N217" t="s">
        <v>30</v>
      </c>
      <c r="O217">
        <v>21</v>
      </c>
      <c r="P217" t="s">
        <v>31</v>
      </c>
      <c r="Q217" t="s">
        <v>409</v>
      </c>
      <c r="R217" t="s">
        <v>410</v>
      </c>
      <c r="S217" t="s">
        <v>237</v>
      </c>
      <c r="T217" t="s">
        <v>16</v>
      </c>
      <c r="U217">
        <v>1</v>
      </c>
      <c r="V217">
        <v>26</v>
      </c>
      <c r="W217">
        <v>78</v>
      </c>
      <c r="X217">
        <v>0</v>
      </c>
      <c r="Y217">
        <v>78</v>
      </c>
      <c r="Z217">
        <v>52</v>
      </c>
      <c r="AA217" t="s">
        <v>36</v>
      </c>
      <c r="AB217" t="s">
        <v>87</v>
      </c>
      <c r="AC217">
        <v>3</v>
      </c>
      <c r="AD217" t="s">
        <v>105</v>
      </c>
      <c r="AE217" t="s">
        <v>95</v>
      </c>
      <c r="AF217" t="str">
        <f t="shared" si="7"/>
        <v>No</v>
      </c>
    </row>
    <row r="218" spans="1:32" x14ac:dyDescent="0.3">
      <c r="A218" t="s">
        <v>639</v>
      </c>
      <c r="B218" s="1">
        <v>45688</v>
      </c>
      <c r="C218" t="s">
        <v>373</v>
      </c>
      <c r="D218">
        <f t="shared" si="6"/>
        <v>9</v>
      </c>
      <c r="E218" t="s">
        <v>2</v>
      </c>
      <c r="F218" t="s">
        <v>3</v>
      </c>
      <c r="G218" t="s">
        <v>40</v>
      </c>
      <c r="H218" t="s">
        <v>24</v>
      </c>
      <c r="I218" t="s">
        <v>25</v>
      </c>
      <c r="J218" t="s">
        <v>26</v>
      </c>
      <c r="K218" t="s">
        <v>306</v>
      </c>
      <c r="L218" t="s">
        <v>640</v>
      </c>
      <c r="M218" t="s">
        <v>225</v>
      </c>
      <c r="N218" t="s">
        <v>30</v>
      </c>
      <c r="O218">
        <v>37</v>
      </c>
      <c r="P218" t="s">
        <v>91</v>
      </c>
      <c r="Q218" t="s">
        <v>226</v>
      </c>
      <c r="R218" t="s">
        <v>227</v>
      </c>
      <c r="S218" t="s">
        <v>68</v>
      </c>
      <c r="T218" t="s">
        <v>35</v>
      </c>
      <c r="U218">
        <v>4</v>
      </c>
      <c r="V218">
        <v>43</v>
      </c>
      <c r="W218">
        <v>94.6</v>
      </c>
      <c r="X218">
        <v>15</v>
      </c>
      <c r="Y218">
        <v>321.64</v>
      </c>
      <c r="Z218">
        <v>149.63999999999999</v>
      </c>
      <c r="AA218" t="s">
        <v>17</v>
      </c>
      <c r="AB218" t="s">
        <v>119</v>
      </c>
      <c r="AC218">
        <v>4</v>
      </c>
      <c r="AD218" t="s">
        <v>105</v>
      </c>
      <c r="AE218" t="s">
        <v>95</v>
      </c>
      <c r="AF218" t="str">
        <f t="shared" si="7"/>
        <v>No</v>
      </c>
    </row>
    <row r="219" spans="1:32" x14ac:dyDescent="0.3">
      <c r="A219" t="s">
        <v>641</v>
      </c>
      <c r="B219" s="1">
        <v>45744</v>
      </c>
      <c r="C219" t="s">
        <v>189</v>
      </c>
      <c r="D219">
        <f t="shared" si="6"/>
        <v>9</v>
      </c>
      <c r="E219" t="s">
        <v>72</v>
      </c>
      <c r="F219" t="s">
        <v>3</v>
      </c>
      <c r="G219" t="s">
        <v>40</v>
      </c>
      <c r="H219" t="s">
        <v>150</v>
      </c>
      <c r="I219" t="s">
        <v>151</v>
      </c>
      <c r="J219" t="s">
        <v>152</v>
      </c>
      <c r="K219" t="s">
        <v>27</v>
      </c>
      <c r="L219" t="s">
        <v>630</v>
      </c>
      <c r="M219" t="s">
        <v>169</v>
      </c>
      <c r="N219" t="s">
        <v>11</v>
      </c>
      <c r="O219">
        <v>64</v>
      </c>
      <c r="P219" t="s">
        <v>12</v>
      </c>
      <c r="Q219" t="s">
        <v>134</v>
      </c>
      <c r="R219" t="s">
        <v>135</v>
      </c>
      <c r="S219" t="s">
        <v>136</v>
      </c>
      <c r="T219" t="s">
        <v>35</v>
      </c>
      <c r="U219">
        <v>2</v>
      </c>
      <c r="V219">
        <v>20</v>
      </c>
      <c r="W219">
        <v>60</v>
      </c>
      <c r="X219">
        <v>15</v>
      </c>
      <c r="Y219">
        <v>102</v>
      </c>
      <c r="Z219">
        <v>62</v>
      </c>
      <c r="AA219" t="s">
        <v>43</v>
      </c>
      <c r="AB219" t="s">
        <v>37</v>
      </c>
      <c r="AD219" t="s">
        <v>105</v>
      </c>
      <c r="AE219" t="s">
        <v>20</v>
      </c>
      <c r="AF219" t="str">
        <f t="shared" si="7"/>
        <v>Yes</v>
      </c>
    </row>
    <row r="220" spans="1:32" x14ac:dyDescent="0.3">
      <c r="A220" t="s">
        <v>642</v>
      </c>
      <c r="B220" s="1">
        <v>45668</v>
      </c>
      <c r="C220" t="s">
        <v>97</v>
      </c>
      <c r="D220">
        <f t="shared" si="6"/>
        <v>7</v>
      </c>
      <c r="E220" t="s">
        <v>2</v>
      </c>
      <c r="F220" t="s">
        <v>3</v>
      </c>
      <c r="G220" t="s">
        <v>132</v>
      </c>
      <c r="H220" t="s">
        <v>24</v>
      </c>
      <c r="I220" t="s">
        <v>25</v>
      </c>
      <c r="J220" t="s">
        <v>26</v>
      </c>
      <c r="K220" t="s">
        <v>83</v>
      </c>
      <c r="L220" t="s">
        <v>643</v>
      </c>
      <c r="M220" t="s">
        <v>29</v>
      </c>
      <c r="N220" t="s">
        <v>11</v>
      </c>
      <c r="O220">
        <v>54</v>
      </c>
      <c r="P220" t="s">
        <v>54</v>
      </c>
      <c r="Q220" t="s">
        <v>141</v>
      </c>
      <c r="R220" t="s">
        <v>142</v>
      </c>
      <c r="S220" t="s">
        <v>111</v>
      </c>
      <c r="T220" t="s">
        <v>16</v>
      </c>
      <c r="U220">
        <v>2</v>
      </c>
      <c r="V220">
        <v>35</v>
      </c>
      <c r="W220">
        <v>77</v>
      </c>
      <c r="X220">
        <v>15</v>
      </c>
      <c r="Y220">
        <v>130.9</v>
      </c>
      <c r="Z220">
        <v>60.9</v>
      </c>
      <c r="AA220" t="s">
        <v>69</v>
      </c>
      <c r="AB220" t="s">
        <v>37</v>
      </c>
      <c r="AD220" t="s">
        <v>105</v>
      </c>
      <c r="AE220" t="s">
        <v>20</v>
      </c>
      <c r="AF220" t="str">
        <f t="shared" si="7"/>
        <v>Yes</v>
      </c>
    </row>
    <row r="221" spans="1:32" x14ac:dyDescent="0.3">
      <c r="A221" t="s">
        <v>644</v>
      </c>
      <c r="B221" s="1">
        <v>45762</v>
      </c>
      <c r="C221" t="s">
        <v>199</v>
      </c>
      <c r="D221">
        <f t="shared" si="6"/>
        <v>10</v>
      </c>
      <c r="E221" t="s">
        <v>60</v>
      </c>
      <c r="F221" t="s">
        <v>48</v>
      </c>
      <c r="G221" t="s">
        <v>181</v>
      </c>
      <c r="H221" t="s">
        <v>5</v>
      </c>
      <c r="I221" t="s">
        <v>6</v>
      </c>
      <c r="J221" t="s">
        <v>7</v>
      </c>
      <c r="K221" t="s">
        <v>74</v>
      </c>
      <c r="L221" t="s">
        <v>645</v>
      </c>
      <c r="M221" t="s">
        <v>261</v>
      </c>
      <c r="N221" t="s">
        <v>30</v>
      </c>
      <c r="O221">
        <v>27</v>
      </c>
      <c r="P221" t="s">
        <v>91</v>
      </c>
      <c r="Q221" t="s">
        <v>390</v>
      </c>
      <c r="R221" t="s">
        <v>391</v>
      </c>
      <c r="S221" t="s">
        <v>172</v>
      </c>
      <c r="T221" t="s">
        <v>16</v>
      </c>
      <c r="U221">
        <v>3</v>
      </c>
      <c r="V221">
        <v>69</v>
      </c>
      <c r="W221">
        <v>193.2</v>
      </c>
      <c r="X221">
        <v>5</v>
      </c>
      <c r="Y221">
        <v>550.62</v>
      </c>
      <c r="Z221">
        <v>343.62</v>
      </c>
      <c r="AA221" t="s">
        <v>17</v>
      </c>
      <c r="AB221" t="s">
        <v>37</v>
      </c>
      <c r="AC221">
        <v>5</v>
      </c>
      <c r="AD221" t="s">
        <v>19</v>
      </c>
      <c r="AE221" t="s">
        <v>20</v>
      </c>
      <c r="AF221" t="str">
        <f t="shared" si="7"/>
        <v>Yes</v>
      </c>
    </row>
    <row r="222" spans="1:32" x14ac:dyDescent="0.3">
      <c r="A222" t="s">
        <v>646</v>
      </c>
      <c r="B222" s="1">
        <v>45781</v>
      </c>
      <c r="C222" t="s">
        <v>414</v>
      </c>
      <c r="D222">
        <f t="shared" si="6"/>
        <v>17</v>
      </c>
      <c r="E222" t="s">
        <v>47</v>
      </c>
      <c r="F222" t="s">
        <v>48</v>
      </c>
      <c r="G222" t="s">
        <v>4</v>
      </c>
      <c r="H222" t="s">
        <v>159</v>
      </c>
      <c r="I222" t="s">
        <v>160</v>
      </c>
      <c r="J222" t="s">
        <v>161</v>
      </c>
      <c r="K222" t="s">
        <v>114</v>
      </c>
      <c r="L222" t="s">
        <v>526</v>
      </c>
      <c r="M222" t="s">
        <v>261</v>
      </c>
      <c r="N222" t="s">
        <v>11</v>
      </c>
      <c r="O222">
        <v>17</v>
      </c>
      <c r="P222" t="s">
        <v>31</v>
      </c>
      <c r="Q222" t="s">
        <v>226</v>
      </c>
      <c r="R222" t="s">
        <v>227</v>
      </c>
      <c r="S222" t="s">
        <v>68</v>
      </c>
      <c r="T222" t="s">
        <v>35</v>
      </c>
      <c r="U222">
        <v>4</v>
      </c>
      <c r="V222">
        <v>43</v>
      </c>
      <c r="W222">
        <v>94.6</v>
      </c>
      <c r="X222">
        <v>15</v>
      </c>
      <c r="Y222">
        <v>321.64</v>
      </c>
      <c r="Z222">
        <v>149.63999999999999</v>
      </c>
      <c r="AA222" t="s">
        <v>36</v>
      </c>
      <c r="AB222" t="s">
        <v>87</v>
      </c>
      <c r="AC222">
        <v>5</v>
      </c>
      <c r="AD222" t="s">
        <v>19</v>
      </c>
      <c r="AE222" t="s">
        <v>20</v>
      </c>
      <c r="AF222" t="str">
        <f t="shared" si="7"/>
        <v>Yes</v>
      </c>
    </row>
    <row r="223" spans="1:32" x14ac:dyDescent="0.3">
      <c r="A223" t="s">
        <v>647</v>
      </c>
      <c r="B223" s="1">
        <v>45698</v>
      </c>
      <c r="C223" t="s">
        <v>189</v>
      </c>
      <c r="D223">
        <f t="shared" si="6"/>
        <v>9</v>
      </c>
      <c r="E223" t="s">
        <v>145</v>
      </c>
      <c r="F223" t="s">
        <v>3</v>
      </c>
      <c r="G223" t="s">
        <v>23</v>
      </c>
      <c r="H223" t="s">
        <v>81</v>
      </c>
      <c r="I223" t="s">
        <v>82</v>
      </c>
      <c r="J223" t="s">
        <v>7</v>
      </c>
      <c r="K223" t="s">
        <v>229</v>
      </c>
      <c r="L223" t="s">
        <v>597</v>
      </c>
      <c r="M223" t="s">
        <v>53</v>
      </c>
      <c r="N223" t="s">
        <v>11</v>
      </c>
      <c r="O223">
        <v>27</v>
      </c>
      <c r="P223" t="s">
        <v>91</v>
      </c>
      <c r="Q223" t="s">
        <v>267</v>
      </c>
      <c r="R223" t="s">
        <v>268</v>
      </c>
      <c r="S223" t="s">
        <v>15</v>
      </c>
      <c r="T223" t="s">
        <v>35</v>
      </c>
      <c r="U223">
        <v>3</v>
      </c>
      <c r="V223">
        <v>87</v>
      </c>
      <c r="W223">
        <v>261</v>
      </c>
      <c r="X223">
        <v>0</v>
      </c>
      <c r="Y223">
        <v>783</v>
      </c>
      <c r="Z223">
        <v>522</v>
      </c>
      <c r="AA223" t="s">
        <v>69</v>
      </c>
      <c r="AB223" t="s">
        <v>119</v>
      </c>
      <c r="AC223">
        <v>4</v>
      </c>
      <c r="AD223" t="s">
        <v>19</v>
      </c>
      <c r="AE223" t="s">
        <v>20</v>
      </c>
      <c r="AF223" t="str">
        <f t="shared" si="7"/>
        <v>Yes</v>
      </c>
    </row>
    <row r="224" spans="1:32" x14ac:dyDescent="0.3">
      <c r="A224" t="s">
        <v>648</v>
      </c>
      <c r="B224" s="1">
        <v>45833</v>
      </c>
      <c r="C224" t="s">
        <v>113</v>
      </c>
      <c r="D224">
        <f t="shared" si="6"/>
        <v>8</v>
      </c>
      <c r="E224" t="s">
        <v>131</v>
      </c>
      <c r="F224" t="s">
        <v>48</v>
      </c>
      <c r="G224" t="s">
        <v>73</v>
      </c>
      <c r="H224" t="s">
        <v>49</v>
      </c>
      <c r="I224" t="s">
        <v>50</v>
      </c>
      <c r="J224" t="s">
        <v>7</v>
      </c>
      <c r="K224" t="s">
        <v>229</v>
      </c>
      <c r="L224" t="s">
        <v>649</v>
      </c>
      <c r="M224" t="s">
        <v>10</v>
      </c>
      <c r="N224" t="s">
        <v>11</v>
      </c>
      <c r="O224">
        <v>52</v>
      </c>
      <c r="P224" t="s">
        <v>12</v>
      </c>
      <c r="Q224" t="s">
        <v>240</v>
      </c>
      <c r="R224" t="s">
        <v>241</v>
      </c>
      <c r="S224" t="s">
        <v>242</v>
      </c>
      <c r="T224" t="s">
        <v>35</v>
      </c>
      <c r="U224">
        <v>3</v>
      </c>
      <c r="V224">
        <v>89</v>
      </c>
      <c r="W224">
        <v>267</v>
      </c>
      <c r="X224">
        <v>10</v>
      </c>
      <c r="Y224">
        <v>720.9</v>
      </c>
      <c r="Z224">
        <v>453.9</v>
      </c>
      <c r="AA224" t="s">
        <v>179</v>
      </c>
      <c r="AB224" t="s">
        <v>129</v>
      </c>
      <c r="AC224">
        <v>3</v>
      </c>
      <c r="AD224" t="s">
        <v>105</v>
      </c>
      <c r="AE224" t="s">
        <v>20</v>
      </c>
      <c r="AF224" t="str">
        <f t="shared" si="7"/>
        <v>Yes</v>
      </c>
    </row>
    <row r="225" spans="1:32" x14ac:dyDescent="0.3">
      <c r="A225" t="s">
        <v>650</v>
      </c>
      <c r="B225" s="1">
        <v>45774</v>
      </c>
      <c r="C225" t="s">
        <v>97</v>
      </c>
      <c r="D225">
        <f t="shared" si="6"/>
        <v>7</v>
      </c>
      <c r="E225" t="s">
        <v>60</v>
      </c>
      <c r="F225" t="s">
        <v>48</v>
      </c>
      <c r="G225" t="s">
        <v>4</v>
      </c>
      <c r="H225" t="s">
        <v>81</v>
      </c>
      <c r="I225" t="s">
        <v>82</v>
      </c>
      <c r="J225" t="s">
        <v>7</v>
      </c>
      <c r="K225" t="s">
        <v>318</v>
      </c>
      <c r="L225" t="s">
        <v>651</v>
      </c>
      <c r="M225" t="s">
        <v>225</v>
      </c>
      <c r="N225" t="s">
        <v>30</v>
      </c>
      <c r="O225">
        <v>43</v>
      </c>
      <c r="P225" t="s">
        <v>54</v>
      </c>
      <c r="Q225" t="s">
        <v>13</v>
      </c>
      <c r="R225" t="s">
        <v>14</v>
      </c>
      <c r="S225" t="s">
        <v>15</v>
      </c>
      <c r="T225" t="s">
        <v>16</v>
      </c>
      <c r="U225">
        <v>2</v>
      </c>
      <c r="V225">
        <v>43</v>
      </c>
      <c r="W225">
        <v>129</v>
      </c>
      <c r="X225">
        <v>15</v>
      </c>
      <c r="Y225">
        <v>219.3</v>
      </c>
      <c r="Z225">
        <v>133.30000000000001</v>
      </c>
      <c r="AA225" t="s">
        <v>179</v>
      </c>
      <c r="AB225" t="s">
        <v>18</v>
      </c>
      <c r="AD225" t="s">
        <v>105</v>
      </c>
      <c r="AE225" t="s">
        <v>20</v>
      </c>
      <c r="AF225" t="str">
        <f t="shared" si="7"/>
        <v>Yes</v>
      </c>
    </row>
    <row r="226" spans="1:32" x14ac:dyDescent="0.3">
      <c r="A226" t="s">
        <v>652</v>
      </c>
      <c r="B226" s="1">
        <v>45788</v>
      </c>
      <c r="C226" t="s">
        <v>276</v>
      </c>
      <c r="D226">
        <f t="shared" si="6"/>
        <v>13</v>
      </c>
      <c r="E226" t="s">
        <v>47</v>
      </c>
      <c r="F226" t="s">
        <v>48</v>
      </c>
      <c r="G226" t="s">
        <v>4</v>
      </c>
      <c r="H226" t="s">
        <v>159</v>
      </c>
      <c r="I226" t="s">
        <v>160</v>
      </c>
      <c r="J226" t="s">
        <v>161</v>
      </c>
      <c r="K226" t="s">
        <v>346</v>
      </c>
      <c r="L226" t="s">
        <v>408</v>
      </c>
      <c r="M226" t="s">
        <v>29</v>
      </c>
      <c r="N226" t="s">
        <v>30</v>
      </c>
      <c r="O226">
        <v>33</v>
      </c>
      <c r="P226" t="s">
        <v>54</v>
      </c>
      <c r="Q226" t="s">
        <v>66</v>
      </c>
      <c r="R226" t="s">
        <v>67</v>
      </c>
      <c r="S226" t="s">
        <v>68</v>
      </c>
      <c r="T226" t="s">
        <v>16</v>
      </c>
      <c r="U226">
        <v>2</v>
      </c>
      <c r="V226">
        <v>43</v>
      </c>
      <c r="W226">
        <v>120.4</v>
      </c>
      <c r="X226">
        <v>5</v>
      </c>
      <c r="Y226">
        <v>228.76</v>
      </c>
      <c r="Z226">
        <v>142.76</v>
      </c>
      <c r="AA226" t="s">
        <v>36</v>
      </c>
      <c r="AB226" t="s">
        <v>44</v>
      </c>
      <c r="AC226">
        <v>4</v>
      </c>
      <c r="AD226" t="s">
        <v>19</v>
      </c>
      <c r="AE226" t="s">
        <v>95</v>
      </c>
      <c r="AF226" t="str">
        <f t="shared" si="7"/>
        <v>No</v>
      </c>
    </row>
    <row r="227" spans="1:32" x14ac:dyDescent="0.3">
      <c r="A227" t="s">
        <v>653</v>
      </c>
      <c r="B227" s="1">
        <v>45730</v>
      </c>
      <c r="C227" t="s">
        <v>322</v>
      </c>
      <c r="D227">
        <f t="shared" si="6"/>
        <v>10</v>
      </c>
      <c r="E227" t="s">
        <v>72</v>
      </c>
      <c r="F227" t="s">
        <v>3</v>
      </c>
      <c r="G227" t="s">
        <v>40</v>
      </c>
      <c r="H227" t="s">
        <v>61</v>
      </c>
      <c r="I227" t="s">
        <v>62</v>
      </c>
      <c r="J227" t="s">
        <v>7</v>
      </c>
      <c r="K227" t="s">
        <v>114</v>
      </c>
      <c r="L227" t="s">
        <v>75</v>
      </c>
      <c r="M227" t="s">
        <v>261</v>
      </c>
      <c r="N227" t="s">
        <v>30</v>
      </c>
      <c r="O227">
        <v>25</v>
      </c>
      <c r="P227" t="s">
        <v>76</v>
      </c>
      <c r="Q227" t="s">
        <v>374</v>
      </c>
      <c r="R227" t="s">
        <v>375</v>
      </c>
      <c r="S227" t="s">
        <v>57</v>
      </c>
      <c r="T227" t="s">
        <v>16</v>
      </c>
      <c r="U227">
        <v>3</v>
      </c>
      <c r="V227">
        <v>80</v>
      </c>
      <c r="W227">
        <v>200</v>
      </c>
      <c r="X227">
        <v>10</v>
      </c>
      <c r="Y227">
        <v>540</v>
      </c>
      <c r="Z227">
        <v>300</v>
      </c>
      <c r="AA227" t="s">
        <v>43</v>
      </c>
      <c r="AB227" t="s">
        <v>129</v>
      </c>
      <c r="AC227">
        <v>5</v>
      </c>
      <c r="AD227" t="s">
        <v>19</v>
      </c>
      <c r="AE227" t="s">
        <v>20</v>
      </c>
      <c r="AF227" t="str">
        <f t="shared" si="7"/>
        <v>Yes</v>
      </c>
    </row>
    <row r="228" spans="1:32" x14ac:dyDescent="0.3">
      <c r="A228" t="s">
        <v>654</v>
      </c>
      <c r="B228" s="1">
        <v>45674</v>
      </c>
      <c r="C228" t="s">
        <v>202</v>
      </c>
      <c r="D228">
        <f t="shared" si="6"/>
        <v>11</v>
      </c>
      <c r="E228" t="s">
        <v>2</v>
      </c>
      <c r="F228" t="s">
        <v>3</v>
      </c>
      <c r="G228" t="s">
        <v>40</v>
      </c>
      <c r="H228" t="s">
        <v>164</v>
      </c>
      <c r="I228" t="s">
        <v>165</v>
      </c>
      <c r="J228" t="s">
        <v>166</v>
      </c>
      <c r="K228" t="s">
        <v>196</v>
      </c>
      <c r="L228" t="s">
        <v>655</v>
      </c>
      <c r="M228" t="s">
        <v>10</v>
      </c>
      <c r="N228" t="s">
        <v>30</v>
      </c>
      <c r="O228">
        <v>48</v>
      </c>
      <c r="P228" t="s">
        <v>31</v>
      </c>
      <c r="Q228" t="s">
        <v>109</v>
      </c>
      <c r="R228" t="s">
        <v>110</v>
      </c>
      <c r="S228" t="s">
        <v>111</v>
      </c>
      <c r="T228" t="s">
        <v>16</v>
      </c>
      <c r="U228">
        <v>1</v>
      </c>
      <c r="V228">
        <v>83</v>
      </c>
      <c r="W228">
        <v>182.6</v>
      </c>
      <c r="X228">
        <v>10</v>
      </c>
      <c r="Y228">
        <v>164.34</v>
      </c>
      <c r="Z228">
        <v>81.34</v>
      </c>
      <c r="AA228" t="s">
        <v>17</v>
      </c>
      <c r="AB228" t="s">
        <v>119</v>
      </c>
      <c r="AC228">
        <v>4</v>
      </c>
      <c r="AD228" t="s">
        <v>19</v>
      </c>
      <c r="AE228" t="s">
        <v>20</v>
      </c>
      <c r="AF228" t="str">
        <f t="shared" si="7"/>
        <v>Yes</v>
      </c>
    </row>
    <row r="229" spans="1:32" x14ac:dyDescent="0.3">
      <c r="A229" t="s">
        <v>656</v>
      </c>
      <c r="B229" s="1">
        <v>45711</v>
      </c>
      <c r="C229" t="s">
        <v>199</v>
      </c>
      <c r="D229">
        <f t="shared" si="6"/>
        <v>10</v>
      </c>
      <c r="E229" t="s">
        <v>145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114</v>
      </c>
      <c r="L229" t="s">
        <v>335</v>
      </c>
      <c r="M229" t="s">
        <v>261</v>
      </c>
      <c r="N229" t="s">
        <v>30</v>
      </c>
      <c r="O229">
        <v>34</v>
      </c>
      <c r="P229" t="s">
        <v>91</v>
      </c>
      <c r="Q229" t="s">
        <v>252</v>
      </c>
      <c r="R229" t="s">
        <v>253</v>
      </c>
      <c r="S229" t="s">
        <v>178</v>
      </c>
      <c r="T229" t="s">
        <v>35</v>
      </c>
      <c r="U229">
        <v>3</v>
      </c>
      <c r="V229">
        <v>82</v>
      </c>
      <c r="W229">
        <v>205</v>
      </c>
      <c r="X229">
        <v>5</v>
      </c>
      <c r="Y229">
        <v>584.25</v>
      </c>
      <c r="Z229">
        <v>338.25</v>
      </c>
      <c r="AA229" t="s">
        <v>36</v>
      </c>
      <c r="AB229" t="s">
        <v>37</v>
      </c>
      <c r="AC229">
        <v>5</v>
      </c>
      <c r="AD229" t="s">
        <v>19</v>
      </c>
      <c r="AE229" t="s">
        <v>20</v>
      </c>
      <c r="AF229" t="str">
        <f t="shared" si="7"/>
        <v>Yes</v>
      </c>
    </row>
    <row r="230" spans="1:32" x14ac:dyDescent="0.3">
      <c r="A230" t="s">
        <v>657</v>
      </c>
      <c r="B230" s="1">
        <v>45804</v>
      </c>
      <c r="C230" t="s">
        <v>202</v>
      </c>
      <c r="D230">
        <f t="shared" si="6"/>
        <v>11</v>
      </c>
      <c r="E230" t="s">
        <v>47</v>
      </c>
      <c r="F230" t="s">
        <v>48</v>
      </c>
      <c r="G230" t="s">
        <v>181</v>
      </c>
      <c r="H230" t="s">
        <v>49</v>
      </c>
      <c r="I230" t="s">
        <v>50</v>
      </c>
      <c r="J230" t="s">
        <v>7</v>
      </c>
      <c r="K230" t="s">
        <v>41</v>
      </c>
      <c r="L230" t="s">
        <v>658</v>
      </c>
      <c r="M230" t="s">
        <v>225</v>
      </c>
      <c r="N230" t="s">
        <v>11</v>
      </c>
      <c r="O230">
        <v>26</v>
      </c>
      <c r="P230" t="s">
        <v>91</v>
      </c>
      <c r="Q230" t="s">
        <v>364</v>
      </c>
      <c r="R230" t="s">
        <v>365</v>
      </c>
      <c r="S230" t="s">
        <v>187</v>
      </c>
      <c r="T230" t="s">
        <v>35</v>
      </c>
      <c r="U230">
        <v>4</v>
      </c>
      <c r="V230">
        <v>28</v>
      </c>
      <c r="W230">
        <v>84</v>
      </c>
      <c r="X230">
        <v>10</v>
      </c>
      <c r="Y230">
        <v>302.39999999999998</v>
      </c>
      <c r="Z230">
        <v>190.4</v>
      </c>
      <c r="AA230" t="s">
        <v>179</v>
      </c>
      <c r="AB230" t="s">
        <v>119</v>
      </c>
      <c r="AC230">
        <v>5</v>
      </c>
      <c r="AD230" t="s">
        <v>105</v>
      </c>
      <c r="AE230" t="s">
        <v>20</v>
      </c>
      <c r="AF230" t="str">
        <f t="shared" si="7"/>
        <v>Yes</v>
      </c>
    </row>
    <row r="231" spans="1:32" x14ac:dyDescent="0.3">
      <c r="A231" t="s">
        <v>659</v>
      </c>
      <c r="B231" s="1">
        <v>45702</v>
      </c>
      <c r="C231" t="s">
        <v>554</v>
      </c>
      <c r="D231">
        <f t="shared" si="6"/>
        <v>11</v>
      </c>
      <c r="E231" t="s">
        <v>145</v>
      </c>
      <c r="F231" t="s">
        <v>3</v>
      </c>
      <c r="G231" t="s">
        <v>40</v>
      </c>
      <c r="H231" t="s">
        <v>122</v>
      </c>
      <c r="I231" t="s">
        <v>123</v>
      </c>
      <c r="J231" t="s">
        <v>7</v>
      </c>
      <c r="K231" t="s">
        <v>196</v>
      </c>
      <c r="L231" t="s">
        <v>326</v>
      </c>
      <c r="M231" t="s">
        <v>169</v>
      </c>
      <c r="N231" t="s">
        <v>11</v>
      </c>
      <c r="O231">
        <v>58</v>
      </c>
      <c r="P231" t="s">
        <v>76</v>
      </c>
      <c r="Q231" t="s">
        <v>358</v>
      </c>
      <c r="R231" t="s">
        <v>359</v>
      </c>
      <c r="S231" t="s">
        <v>15</v>
      </c>
      <c r="T231" t="s">
        <v>35</v>
      </c>
      <c r="U231">
        <v>4</v>
      </c>
      <c r="V231">
        <v>55</v>
      </c>
      <c r="W231">
        <v>137.5</v>
      </c>
      <c r="X231">
        <v>5</v>
      </c>
      <c r="Y231">
        <v>522.5</v>
      </c>
      <c r="Z231">
        <v>302.5</v>
      </c>
      <c r="AA231" t="s">
        <v>43</v>
      </c>
      <c r="AB231" t="s">
        <v>87</v>
      </c>
      <c r="AC231">
        <v>3</v>
      </c>
      <c r="AD231" t="s">
        <v>19</v>
      </c>
      <c r="AE231" t="s">
        <v>20</v>
      </c>
      <c r="AF231" t="str">
        <f t="shared" si="7"/>
        <v>Yes</v>
      </c>
    </row>
    <row r="232" spans="1:32" x14ac:dyDescent="0.3">
      <c r="A232" t="s">
        <v>660</v>
      </c>
      <c r="B232" s="1">
        <v>45682</v>
      </c>
      <c r="C232" t="s">
        <v>207</v>
      </c>
      <c r="D232">
        <f t="shared" si="6"/>
        <v>20</v>
      </c>
      <c r="E232" t="s">
        <v>2</v>
      </c>
      <c r="F232" t="s">
        <v>3</v>
      </c>
      <c r="G232" t="s">
        <v>132</v>
      </c>
      <c r="H232" t="s">
        <v>150</v>
      </c>
      <c r="I232" t="s">
        <v>151</v>
      </c>
      <c r="J232" t="s">
        <v>152</v>
      </c>
      <c r="K232" t="s">
        <v>8</v>
      </c>
      <c r="L232" t="s">
        <v>661</v>
      </c>
      <c r="M232" t="s">
        <v>140</v>
      </c>
      <c r="N232" t="s">
        <v>11</v>
      </c>
      <c r="O232">
        <v>55</v>
      </c>
      <c r="P232" t="s">
        <v>76</v>
      </c>
      <c r="Q232" t="s">
        <v>267</v>
      </c>
      <c r="R232" t="s">
        <v>268</v>
      </c>
      <c r="S232" t="s">
        <v>15</v>
      </c>
      <c r="T232" t="s">
        <v>35</v>
      </c>
      <c r="U232">
        <v>2</v>
      </c>
      <c r="V232">
        <v>87</v>
      </c>
      <c r="W232">
        <v>261</v>
      </c>
      <c r="X232">
        <v>10</v>
      </c>
      <c r="Y232">
        <v>469.8</v>
      </c>
      <c r="Z232">
        <v>295.8</v>
      </c>
      <c r="AA232" t="s">
        <v>43</v>
      </c>
      <c r="AB232" t="s">
        <v>129</v>
      </c>
      <c r="AC232">
        <v>4</v>
      </c>
      <c r="AD232" t="s">
        <v>105</v>
      </c>
      <c r="AE232" t="s">
        <v>95</v>
      </c>
      <c r="AF232" t="str">
        <f t="shared" si="7"/>
        <v>No</v>
      </c>
    </row>
    <row r="233" spans="1:32" x14ac:dyDescent="0.3">
      <c r="A233" t="s">
        <v>662</v>
      </c>
      <c r="B233" s="1">
        <v>45678</v>
      </c>
      <c r="C233" t="s">
        <v>388</v>
      </c>
      <c r="D233">
        <f t="shared" si="6"/>
        <v>19</v>
      </c>
      <c r="E233" t="s">
        <v>2</v>
      </c>
      <c r="F233" t="s">
        <v>3</v>
      </c>
      <c r="G233" t="s">
        <v>181</v>
      </c>
      <c r="H233" t="s">
        <v>81</v>
      </c>
      <c r="I233" t="s">
        <v>82</v>
      </c>
      <c r="J233" t="s">
        <v>7</v>
      </c>
      <c r="K233" t="s">
        <v>270</v>
      </c>
      <c r="L233" t="s">
        <v>663</v>
      </c>
      <c r="M233" t="s">
        <v>53</v>
      </c>
      <c r="N233" t="s">
        <v>30</v>
      </c>
      <c r="O233">
        <v>35</v>
      </c>
      <c r="P233" t="s">
        <v>76</v>
      </c>
      <c r="Q233" t="s">
        <v>358</v>
      </c>
      <c r="R233" t="s">
        <v>359</v>
      </c>
      <c r="S233" t="s">
        <v>15</v>
      </c>
      <c r="T233" t="s">
        <v>35</v>
      </c>
      <c r="U233">
        <v>2</v>
      </c>
      <c r="V233">
        <v>55</v>
      </c>
      <c r="W233">
        <v>137.5</v>
      </c>
      <c r="X233">
        <v>5</v>
      </c>
      <c r="Y233">
        <v>261.25</v>
      </c>
      <c r="Z233">
        <v>151.25</v>
      </c>
      <c r="AA233" t="s">
        <v>69</v>
      </c>
      <c r="AB233" t="s">
        <v>37</v>
      </c>
      <c r="AC233">
        <v>4</v>
      </c>
      <c r="AD233" t="s">
        <v>19</v>
      </c>
      <c r="AE233" t="s">
        <v>20</v>
      </c>
      <c r="AF233" t="str">
        <f t="shared" si="7"/>
        <v>Yes</v>
      </c>
    </row>
    <row r="234" spans="1:32" x14ac:dyDescent="0.3">
      <c r="A234" t="s">
        <v>664</v>
      </c>
      <c r="B234" s="1">
        <v>45706</v>
      </c>
      <c r="C234" t="s">
        <v>351</v>
      </c>
      <c r="D234">
        <f t="shared" si="6"/>
        <v>9</v>
      </c>
      <c r="E234" t="s">
        <v>145</v>
      </c>
      <c r="F234" t="s">
        <v>3</v>
      </c>
      <c r="G234" t="s">
        <v>181</v>
      </c>
      <c r="H234" t="s">
        <v>122</v>
      </c>
      <c r="I234" t="s">
        <v>123</v>
      </c>
      <c r="J234" t="s">
        <v>7</v>
      </c>
      <c r="K234" t="s">
        <v>270</v>
      </c>
      <c r="L234" t="s">
        <v>665</v>
      </c>
      <c r="M234" t="s">
        <v>162</v>
      </c>
      <c r="N234" t="s">
        <v>11</v>
      </c>
      <c r="O234">
        <v>38</v>
      </c>
      <c r="P234" t="s">
        <v>91</v>
      </c>
      <c r="Q234" t="s">
        <v>280</v>
      </c>
      <c r="R234" t="s">
        <v>281</v>
      </c>
      <c r="S234" t="s">
        <v>218</v>
      </c>
      <c r="T234" t="s">
        <v>16</v>
      </c>
      <c r="U234">
        <v>2</v>
      </c>
      <c r="V234">
        <v>34</v>
      </c>
      <c r="W234">
        <v>74.8</v>
      </c>
      <c r="X234">
        <v>15</v>
      </c>
      <c r="Y234">
        <v>127.16</v>
      </c>
      <c r="Z234">
        <v>59.16</v>
      </c>
      <c r="AA234" t="s">
        <v>43</v>
      </c>
      <c r="AB234" t="s">
        <v>129</v>
      </c>
      <c r="AC234">
        <v>4</v>
      </c>
      <c r="AD234" t="s">
        <v>105</v>
      </c>
      <c r="AE234" t="s">
        <v>20</v>
      </c>
      <c r="AF234" t="str">
        <f t="shared" si="7"/>
        <v>Yes</v>
      </c>
    </row>
    <row r="235" spans="1:32" x14ac:dyDescent="0.3">
      <c r="A235" t="s">
        <v>666</v>
      </c>
      <c r="B235" s="1">
        <v>45691</v>
      </c>
      <c r="C235" t="s">
        <v>189</v>
      </c>
      <c r="D235">
        <f t="shared" si="6"/>
        <v>9</v>
      </c>
      <c r="E235" t="s">
        <v>145</v>
      </c>
      <c r="F235" t="s">
        <v>3</v>
      </c>
      <c r="G235" t="s">
        <v>23</v>
      </c>
      <c r="H235" t="s">
        <v>49</v>
      </c>
      <c r="I235" t="s">
        <v>50</v>
      </c>
      <c r="J235" t="s">
        <v>7</v>
      </c>
      <c r="K235" t="s">
        <v>51</v>
      </c>
      <c r="L235" t="s">
        <v>481</v>
      </c>
      <c r="M235" t="s">
        <v>225</v>
      </c>
      <c r="N235" t="s">
        <v>30</v>
      </c>
      <c r="O235">
        <v>53</v>
      </c>
      <c r="P235" t="s">
        <v>76</v>
      </c>
      <c r="Q235" t="s">
        <v>116</v>
      </c>
      <c r="R235" t="s">
        <v>117</v>
      </c>
      <c r="S235" t="s">
        <v>118</v>
      </c>
      <c r="T235" t="s">
        <v>35</v>
      </c>
      <c r="U235">
        <v>4</v>
      </c>
      <c r="V235">
        <v>99</v>
      </c>
      <c r="W235">
        <v>277.2</v>
      </c>
      <c r="X235">
        <v>10</v>
      </c>
      <c r="Y235">
        <v>997.92</v>
      </c>
      <c r="Z235">
        <v>601.91999999999996</v>
      </c>
      <c r="AA235" t="s">
        <v>17</v>
      </c>
      <c r="AB235" t="s">
        <v>37</v>
      </c>
      <c r="AC235">
        <v>4</v>
      </c>
      <c r="AD235" t="s">
        <v>19</v>
      </c>
      <c r="AE235" t="s">
        <v>20</v>
      </c>
      <c r="AF235" t="str">
        <f t="shared" si="7"/>
        <v>Yes</v>
      </c>
    </row>
    <row r="236" spans="1:32" x14ac:dyDescent="0.3">
      <c r="A236" t="s">
        <v>667</v>
      </c>
      <c r="B236" s="1">
        <v>45727</v>
      </c>
      <c r="C236" t="s">
        <v>330</v>
      </c>
      <c r="D236">
        <f t="shared" si="6"/>
        <v>14</v>
      </c>
      <c r="E236" t="s">
        <v>72</v>
      </c>
      <c r="F236" t="s">
        <v>3</v>
      </c>
      <c r="G236" t="s">
        <v>181</v>
      </c>
      <c r="H236" t="s">
        <v>159</v>
      </c>
      <c r="I236" t="s">
        <v>160</v>
      </c>
      <c r="J236" t="s">
        <v>161</v>
      </c>
      <c r="K236" t="s">
        <v>63</v>
      </c>
      <c r="L236" t="s">
        <v>668</v>
      </c>
      <c r="M236" t="s">
        <v>162</v>
      </c>
      <c r="N236" t="s">
        <v>30</v>
      </c>
      <c r="O236">
        <v>48</v>
      </c>
      <c r="P236" t="s">
        <v>12</v>
      </c>
      <c r="Q236" t="s">
        <v>216</v>
      </c>
      <c r="R236" t="s">
        <v>217</v>
      </c>
      <c r="S236" t="s">
        <v>218</v>
      </c>
      <c r="T236" t="s">
        <v>35</v>
      </c>
      <c r="U236">
        <v>3</v>
      </c>
      <c r="V236">
        <v>67</v>
      </c>
      <c r="W236">
        <v>187.6</v>
      </c>
      <c r="X236">
        <v>5</v>
      </c>
      <c r="Y236">
        <v>534.66</v>
      </c>
      <c r="Z236">
        <v>333.66</v>
      </c>
      <c r="AA236" t="s">
        <v>36</v>
      </c>
      <c r="AB236" t="s">
        <v>129</v>
      </c>
      <c r="AC236">
        <v>5</v>
      </c>
      <c r="AD236" t="s">
        <v>105</v>
      </c>
      <c r="AE236" t="s">
        <v>20</v>
      </c>
      <c r="AF236" t="str">
        <f t="shared" si="7"/>
        <v>Yes</v>
      </c>
    </row>
    <row r="237" spans="1:32" x14ac:dyDescent="0.3">
      <c r="A237" t="s">
        <v>669</v>
      </c>
      <c r="B237" s="1">
        <v>45692</v>
      </c>
      <c r="C237" t="s">
        <v>265</v>
      </c>
      <c r="D237">
        <f t="shared" si="6"/>
        <v>7</v>
      </c>
      <c r="E237" t="s">
        <v>145</v>
      </c>
      <c r="F237" t="s">
        <v>3</v>
      </c>
      <c r="G237" t="s">
        <v>181</v>
      </c>
      <c r="H237" t="s">
        <v>81</v>
      </c>
      <c r="I237" t="s">
        <v>82</v>
      </c>
      <c r="J237" t="s">
        <v>7</v>
      </c>
      <c r="K237" t="s">
        <v>311</v>
      </c>
      <c r="L237" t="s">
        <v>670</v>
      </c>
      <c r="M237" t="s">
        <v>184</v>
      </c>
      <c r="N237" t="s">
        <v>30</v>
      </c>
      <c r="O237">
        <v>23</v>
      </c>
      <c r="P237" t="s">
        <v>91</v>
      </c>
      <c r="Q237" t="s">
        <v>226</v>
      </c>
      <c r="R237" t="s">
        <v>227</v>
      </c>
      <c r="S237" t="s">
        <v>68</v>
      </c>
      <c r="T237" t="s">
        <v>35</v>
      </c>
      <c r="U237">
        <v>4</v>
      </c>
      <c r="V237">
        <v>43</v>
      </c>
      <c r="W237">
        <v>94.6</v>
      </c>
      <c r="X237">
        <v>0</v>
      </c>
      <c r="Y237">
        <v>378.4</v>
      </c>
      <c r="Z237">
        <v>206.4</v>
      </c>
      <c r="AA237" t="s">
        <v>43</v>
      </c>
      <c r="AB237" t="s">
        <v>18</v>
      </c>
      <c r="AC237">
        <v>4</v>
      </c>
      <c r="AD237" t="s">
        <v>105</v>
      </c>
      <c r="AE237" t="s">
        <v>20</v>
      </c>
      <c r="AF237" t="str">
        <f t="shared" si="7"/>
        <v>Yes</v>
      </c>
    </row>
    <row r="238" spans="1:32" x14ac:dyDescent="0.3">
      <c r="A238" t="s">
        <v>671</v>
      </c>
      <c r="B238" s="1">
        <v>45807</v>
      </c>
      <c r="C238" t="s">
        <v>672</v>
      </c>
      <c r="D238">
        <f t="shared" si="6"/>
        <v>14</v>
      </c>
      <c r="E238" t="s">
        <v>47</v>
      </c>
      <c r="F238" t="s">
        <v>48</v>
      </c>
      <c r="G238" t="s">
        <v>40</v>
      </c>
      <c r="H238" t="s">
        <v>99</v>
      </c>
      <c r="I238" t="s">
        <v>100</v>
      </c>
      <c r="J238" t="s">
        <v>101</v>
      </c>
      <c r="K238" t="s">
        <v>323</v>
      </c>
      <c r="L238" t="s">
        <v>28</v>
      </c>
      <c r="M238" t="s">
        <v>140</v>
      </c>
      <c r="N238" t="s">
        <v>11</v>
      </c>
      <c r="O238">
        <v>27</v>
      </c>
      <c r="P238" t="s">
        <v>54</v>
      </c>
      <c r="Q238" t="s">
        <v>240</v>
      </c>
      <c r="R238" t="s">
        <v>241</v>
      </c>
      <c r="S238" t="s">
        <v>242</v>
      </c>
      <c r="T238" t="s">
        <v>35</v>
      </c>
      <c r="U238">
        <v>4</v>
      </c>
      <c r="V238">
        <v>89</v>
      </c>
      <c r="W238">
        <v>267</v>
      </c>
      <c r="X238">
        <v>5</v>
      </c>
      <c r="Y238">
        <v>1014.6</v>
      </c>
      <c r="Z238">
        <v>658.6</v>
      </c>
      <c r="AA238" t="s">
        <v>17</v>
      </c>
      <c r="AB238" t="s">
        <v>18</v>
      </c>
      <c r="AD238" t="s">
        <v>105</v>
      </c>
      <c r="AE238" t="s">
        <v>20</v>
      </c>
      <c r="AF238" t="str">
        <f t="shared" si="7"/>
        <v>Yes</v>
      </c>
    </row>
    <row r="239" spans="1:32" x14ac:dyDescent="0.3">
      <c r="A239" t="s">
        <v>673</v>
      </c>
      <c r="B239" s="1">
        <v>45739</v>
      </c>
      <c r="C239" t="s">
        <v>1</v>
      </c>
      <c r="D239">
        <f t="shared" si="6"/>
        <v>19</v>
      </c>
      <c r="E239" t="s">
        <v>72</v>
      </c>
      <c r="F239" t="s">
        <v>3</v>
      </c>
      <c r="G239" t="s">
        <v>4</v>
      </c>
      <c r="H239" t="s">
        <v>61</v>
      </c>
      <c r="I239" t="s">
        <v>62</v>
      </c>
      <c r="J239" t="s">
        <v>7</v>
      </c>
      <c r="K239" t="s">
        <v>41</v>
      </c>
      <c r="L239" t="s">
        <v>494</v>
      </c>
      <c r="M239" t="s">
        <v>65</v>
      </c>
      <c r="N239" t="s">
        <v>30</v>
      </c>
      <c r="O239">
        <v>40</v>
      </c>
      <c r="P239" t="s">
        <v>76</v>
      </c>
      <c r="Q239" t="s">
        <v>374</v>
      </c>
      <c r="R239" t="s">
        <v>375</v>
      </c>
      <c r="S239" t="s">
        <v>57</v>
      </c>
      <c r="T239" t="s">
        <v>16</v>
      </c>
      <c r="U239">
        <v>2</v>
      </c>
      <c r="V239">
        <v>80</v>
      </c>
      <c r="W239">
        <v>200</v>
      </c>
      <c r="X239">
        <v>10</v>
      </c>
      <c r="Y239">
        <v>360</v>
      </c>
      <c r="Z239">
        <v>200</v>
      </c>
      <c r="AA239" t="s">
        <v>43</v>
      </c>
      <c r="AB239" t="s">
        <v>119</v>
      </c>
      <c r="AD239" t="s">
        <v>105</v>
      </c>
      <c r="AE239" t="s">
        <v>95</v>
      </c>
      <c r="AF239" t="str">
        <f t="shared" si="7"/>
        <v>No</v>
      </c>
    </row>
    <row r="240" spans="1:32" x14ac:dyDescent="0.3">
      <c r="A240" t="s">
        <v>674</v>
      </c>
      <c r="B240" s="1">
        <v>45824</v>
      </c>
      <c r="C240" t="s">
        <v>39</v>
      </c>
      <c r="D240">
        <f t="shared" si="6"/>
        <v>18</v>
      </c>
      <c r="E240" t="s">
        <v>131</v>
      </c>
      <c r="F240" t="s">
        <v>48</v>
      </c>
      <c r="G240" t="s">
        <v>23</v>
      </c>
      <c r="H240" t="s">
        <v>150</v>
      </c>
      <c r="I240" t="s">
        <v>151</v>
      </c>
      <c r="J240" t="s">
        <v>152</v>
      </c>
      <c r="K240" t="s">
        <v>311</v>
      </c>
      <c r="L240" t="s">
        <v>200</v>
      </c>
      <c r="M240" t="s">
        <v>53</v>
      </c>
      <c r="N240" t="s">
        <v>30</v>
      </c>
      <c r="O240">
        <v>42</v>
      </c>
      <c r="P240" t="s">
        <v>76</v>
      </c>
      <c r="Q240" t="s">
        <v>66</v>
      </c>
      <c r="R240" t="s">
        <v>67</v>
      </c>
      <c r="S240" t="s">
        <v>68</v>
      </c>
      <c r="T240" t="s">
        <v>16</v>
      </c>
      <c r="U240">
        <v>3</v>
      </c>
      <c r="V240">
        <v>43</v>
      </c>
      <c r="W240">
        <v>120.4</v>
      </c>
      <c r="X240">
        <v>5</v>
      </c>
      <c r="Y240">
        <v>343.14</v>
      </c>
      <c r="Z240">
        <v>214.14</v>
      </c>
      <c r="AA240" t="s">
        <v>36</v>
      </c>
      <c r="AB240" t="s">
        <v>44</v>
      </c>
      <c r="AC240">
        <v>4</v>
      </c>
      <c r="AD240" t="s">
        <v>105</v>
      </c>
      <c r="AE240" t="s">
        <v>20</v>
      </c>
      <c r="AF240" t="str">
        <f t="shared" si="7"/>
        <v>Yes</v>
      </c>
    </row>
    <row r="241" spans="1:32" x14ac:dyDescent="0.3">
      <c r="A241" t="s">
        <v>675</v>
      </c>
      <c r="B241" s="1">
        <v>45768</v>
      </c>
      <c r="C241" t="s">
        <v>199</v>
      </c>
      <c r="D241">
        <f t="shared" si="6"/>
        <v>10</v>
      </c>
      <c r="E241" t="s">
        <v>60</v>
      </c>
      <c r="F241" t="s">
        <v>48</v>
      </c>
      <c r="G241" t="s">
        <v>23</v>
      </c>
      <c r="H241" t="s">
        <v>159</v>
      </c>
      <c r="I241" t="s">
        <v>160</v>
      </c>
      <c r="J241" t="s">
        <v>161</v>
      </c>
      <c r="K241" t="s">
        <v>270</v>
      </c>
      <c r="L241" t="s">
        <v>676</v>
      </c>
      <c r="M241" t="s">
        <v>65</v>
      </c>
      <c r="N241" t="s">
        <v>30</v>
      </c>
      <c r="O241">
        <v>35</v>
      </c>
      <c r="P241" t="s">
        <v>91</v>
      </c>
      <c r="Q241" t="s">
        <v>92</v>
      </c>
      <c r="R241" t="s">
        <v>93</v>
      </c>
      <c r="S241" t="s">
        <v>94</v>
      </c>
      <c r="T241" t="s">
        <v>16</v>
      </c>
      <c r="U241">
        <v>1</v>
      </c>
      <c r="V241">
        <v>85</v>
      </c>
      <c r="W241">
        <v>255</v>
      </c>
      <c r="X241">
        <v>5</v>
      </c>
      <c r="Y241">
        <v>242.25</v>
      </c>
      <c r="Z241">
        <v>157.25</v>
      </c>
      <c r="AA241" t="s">
        <v>179</v>
      </c>
      <c r="AB241" t="s">
        <v>18</v>
      </c>
      <c r="AC241">
        <v>4</v>
      </c>
      <c r="AD241" t="s">
        <v>19</v>
      </c>
      <c r="AE241" t="s">
        <v>95</v>
      </c>
      <c r="AF241" t="str">
        <f t="shared" si="7"/>
        <v>No</v>
      </c>
    </row>
    <row r="242" spans="1:32" x14ac:dyDescent="0.3">
      <c r="A242" t="s">
        <v>677</v>
      </c>
      <c r="B242" s="1">
        <v>45823</v>
      </c>
      <c r="C242" t="s">
        <v>337</v>
      </c>
      <c r="D242">
        <f t="shared" si="6"/>
        <v>17</v>
      </c>
      <c r="E242" t="s">
        <v>131</v>
      </c>
      <c r="F242" t="s">
        <v>48</v>
      </c>
      <c r="G242" t="s">
        <v>4</v>
      </c>
      <c r="H242" t="s">
        <v>61</v>
      </c>
      <c r="I242" t="s">
        <v>62</v>
      </c>
      <c r="J242" t="s">
        <v>7</v>
      </c>
      <c r="K242" t="s">
        <v>352</v>
      </c>
      <c r="L242" t="s">
        <v>394</v>
      </c>
      <c r="M242" t="s">
        <v>261</v>
      </c>
      <c r="N242" t="s">
        <v>11</v>
      </c>
      <c r="O242">
        <v>53</v>
      </c>
      <c r="P242" t="s">
        <v>76</v>
      </c>
      <c r="Q242" t="s">
        <v>240</v>
      </c>
      <c r="R242" t="s">
        <v>241</v>
      </c>
      <c r="S242" t="s">
        <v>242</v>
      </c>
      <c r="T242" t="s">
        <v>35</v>
      </c>
      <c r="U242">
        <v>2</v>
      </c>
      <c r="V242">
        <v>89</v>
      </c>
      <c r="W242">
        <v>267</v>
      </c>
      <c r="X242">
        <v>10</v>
      </c>
      <c r="Y242">
        <v>480.6</v>
      </c>
      <c r="Z242">
        <v>302.60000000000002</v>
      </c>
      <c r="AA242" t="s">
        <v>69</v>
      </c>
      <c r="AB242" t="s">
        <v>37</v>
      </c>
      <c r="AC242">
        <v>3</v>
      </c>
      <c r="AD242" t="s">
        <v>105</v>
      </c>
      <c r="AE242" t="s">
        <v>20</v>
      </c>
      <c r="AF242" t="str">
        <f t="shared" si="7"/>
        <v>Yes</v>
      </c>
    </row>
    <row r="243" spans="1:32" x14ac:dyDescent="0.3">
      <c r="A243" t="s">
        <v>678</v>
      </c>
      <c r="B243" s="1">
        <v>45792</v>
      </c>
      <c r="C243" t="s">
        <v>265</v>
      </c>
      <c r="D243">
        <f t="shared" si="6"/>
        <v>7</v>
      </c>
      <c r="E243" t="s">
        <v>47</v>
      </c>
      <c r="F243" t="s">
        <v>48</v>
      </c>
      <c r="G243" t="s">
        <v>98</v>
      </c>
      <c r="H243" t="s">
        <v>49</v>
      </c>
      <c r="I243" t="s">
        <v>50</v>
      </c>
      <c r="J243" t="s">
        <v>7</v>
      </c>
      <c r="K243" t="s">
        <v>270</v>
      </c>
      <c r="L243" t="s">
        <v>591</v>
      </c>
      <c r="M243" t="s">
        <v>29</v>
      </c>
      <c r="N243" t="s">
        <v>11</v>
      </c>
      <c r="O243">
        <v>46</v>
      </c>
      <c r="P243" t="s">
        <v>91</v>
      </c>
      <c r="Q243" t="s">
        <v>240</v>
      </c>
      <c r="R243" t="s">
        <v>241</v>
      </c>
      <c r="S243" t="s">
        <v>242</v>
      </c>
      <c r="T243" t="s">
        <v>35</v>
      </c>
      <c r="U243">
        <v>4</v>
      </c>
      <c r="V243">
        <v>89</v>
      </c>
      <c r="W243">
        <v>267</v>
      </c>
      <c r="X243">
        <v>10</v>
      </c>
      <c r="Y243">
        <v>961.2</v>
      </c>
      <c r="Z243">
        <v>605.20000000000005</v>
      </c>
      <c r="AA243" t="s">
        <v>69</v>
      </c>
      <c r="AB243" t="s">
        <v>119</v>
      </c>
      <c r="AC243">
        <v>4</v>
      </c>
      <c r="AD243" t="s">
        <v>105</v>
      </c>
      <c r="AE243" t="s">
        <v>20</v>
      </c>
      <c r="AF243" t="str">
        <f t="shared" si="7"/>
        <v>Yes</v>
      </c>
    </row>
    <row r="244" spans="1:32" x14ac:dyDescent="0.3">
      <c r="A244" t="s">
        <v>679</v>
      </c>
      <c r="B244" s="1">
        <v>45674</v>
      </c>
      <c r="C244" t="s">
        <v>340</v>
      </c>
      <c r="D244">
        <f t="shared" si="6"/>
        <v>17</v>
      </c>
      <c r="E244" t="s">
        <v>2</v>
      </c>
      <c r="F244" t="s">
        <v>3</v>
      </c>
      <c r="G244" t="s">
        <v>40</v>
      </c>
      <c r="H244" t="s">
        <v>49</v>
      </c>
      <c r="I244" t="s">
        <v>50</v>
      </c>
      <c r="J244" t="s">
        <v>7</v>
      </c>
      <c r="K244" t="s">
        <v>146</v>
      </c>
      <c r="L244" t="s">
        <v>526</v>
      </c>
      <c r="M244" t="s">
        <v>184</v>
      </c>
      <c r="N244" t="s">
        <v>30</v>
      </c>
      <c r="O244">
        <v>26</v>
      </c>
      <c r="P244" t="s">
        <v>91</v>
      </c>
      <c r="Q244" t="s">
        <v>235</v>
      </c>
      <c r="R244" t="s">
        <v>236</v>
      </c>
      <c r="S244" t="s">
        <v>237</v>
      </c>
      <c r="T244" t="s">
        <v>35</v>
      </c>
      <c r="U244">
        <v>4</v>
      </c>
      <c r="V244">
        <v>22</v>
      </c>
      <c r="W244">
        <v>61.6</v>
      </c>
      <c r="X244">
        <v>15</v>
      </c>
      <c r="Y244">
        <v>209.44</v>
      </c>
      <c r="Z244">
        <v>121.44</v>
      </c>
      <c r="AA244" t="s">
        <v>17</v>
      </c>
      <c r="AB244" t="s">
        <v>37</v>
      </c>
      <c r="AC244">
        <v>3</v>
      </c>
      <c r="AD244" t="s">
        <v>19</v>
      </c>
      <c r="AE244" t="s">
        <v>20</v>
      </c>
      <c r="AF244" t="str">
        <f t="shared" si="7"/>
        <v>Yes</v>
      </c>
    </row>
    <row r="245" spans="1:32" x14ac:dyDescent="0.3">
      <c r="A245" t="s">
        <v>680</v>
      </c>
      <c r="B245" s="1">
        <v>45801</v>
      </c>
      <c r="C245" t="s">
        <v>189</v>
      </c>
      <c r="D245">
        <f t="shared" si="6"/>
        <v>9</v>
      </c>
      <c r="E245" t="s">
        <v>47</v>
      </c>
      <c r="F245" t="s">
        <v>48</v>
      </c>
      <c r="G245" t="s">
        <v>132</v>
      </c>
      <c r="H245" t="s">
        <v>24</v>
      </c>
      <c r="I245" t="s">
        <v>25</v>
      </c>
      <c r="J245" t="s">
        <v>26</v>
      </c>
      <c r="K245" t="s">
        <v>306</v>
      </c>
      <c r="L245" t="s">
        <v>681</v>
      </c>
      <c r="M245" t="s">
        <v>29</v>
      </c>
      <c r="N245" t="s">
        <v>30</v>
      </c>
      <c r="O245">
        <v>27</v>
      </c>
      <c r="P245" t="s">
        <v>12</v>
      </c>
      <c r="Q245" t="s">
        <v>605</v>
      </c>
      <c r="R245" t="s">
        <v>606</v>
      </c>
      <c r="S245" t="s">
        <v>237</v>
      </c>
      <c r="T245" t="s">
        <v>35</v>
      </c>
      <c r="U245">
        <v>2</v>
      </c>
      <c r="V245">
        <v>79</v>
      </c>
      <c r="W245">
        <v>173.8</v>
      </c>
      <c r="X245">
        <v>5</v>
      </c>
      <c r="Y245">
        <v>330.22</v>
      </c>
      <c r="Z245">
        <v>172.22</v>
      </c>
      <c r="AA245" t="s">
        <v>43</v>
      </c>
      <c r="AB245" t="s">
        <v>37</v>
      </c>
      <c r="AC245">
        <v>5</v>
      </c>
      <c r="AD245" t="s">
        <v>105</v>
      </c>
      <c r="AE245" t="s">
        <v>20</v>
      </c>
      <c r="AF245" t="str">
        <f t="shared" si="7"/>
        <v>Yes</v>
      </c>
    </row>
    <row r="246" spans="1:32" x14ac:dyDescent="0.3">
      <c r="A246" t="s">
        <v>682</v>
      </c>
      <c r="B246" s="1">
        <v>45727</v>
      </c>
      <c r="C246" t="s">
        <v>683</v>
      </c>
      <c r="D246">
        <f t="shared" si="6"/>
        <v>15</v>
      </c>
      <c r="E246" t="s">
        <v>72</v>
      </c>
      <c r="F246" t="s">
        <v>3</v>
      </c>
      <c r="G246" t="s">
        <v>181</v>
      </c>
      <c r="H246" t="s">
        <v>164</v>
      </c>
      <c r="I246" t="s">
        <v>165</v>
      </c>
      <c r="J246" t="s">
        <v>166</v>
      </c>
      <c r="K246" t="s">
        <v>8</v>
      </c>
      <c r="L246" t="s">
        <v>684</v>
      </c>
      <c r="M246" t="s">
        <v>169</v>
      </c>
      <c r="N246" t="s">
        <v>11</v>
      </c>
      <c r="O246">
        <v>16</v>
      </c>
      <c r="P246" t="s">
        <v>54</v>
      </c>
      <c r="Q246" t="s">
        <v>66</v>
      </c>
      <c r="R246" t="s">
        <v>67</v>
      </c>
      <c r="S246" t="s">
        <v>68</v>
      </c>
      <c r="T246" t="s">
        <v>16</v>
      </c>
      <c r="U246">
        <v>3</v>
      </c>
      <c r="V246">
        <v>43</v>
      </c>
      <c r="W246">
        <v>120.4</v>
      </c>
      <c r="X246">
        <v>0</v>
      </c>
      <c r="Y246">
        <v>361.2</v>
      </c>
      <c r="Z246">
        <v>232.2</v>
      </c>
      <c r="AA246" t="s">
        <v>179</v>
      </c>
      <c r="AB246" t="s">
        <v>37</v>
      </c>
      <c r="AC246">
        <v>4</v>
      </c>
      <c r="AD246" t="s">
        <v>19</v>
      </c>
      <c r="AE246" t="s">
        <v>20</v>
      </c>
      <c r="AF246" t="str">
        <f t="shared" si="7"/>
        <v>Yes</v>
      </c>
    </row>
    <row r="247" spans="1:32" x14ac:dyDescent="0.3">
      <c r="A247" t="s">
        <v>685</v>
      </c>
      <c r="B247" s="1">
        <v>45716</v>
      </c>
      <c r="C247" t="s">
        <v>340</v>
      </c>
      <c r="D247">
        <f t="shared" si="6"/>
        <v>17</v>
      </c>
      <c r="E247" t="s">
        <v>145</v>
      </c>
      <c r="F247" t="s">
        <v>3</v>
      </c>
      <c r="G247" t="s">
        <v>40</v>
      </c>
      <c r="H247" t="s">
        <v>5</v>
      </c>
      <c r="I247" t="s">
        <v>6</v>
      </c>
      <c r="J247" t="s">
        <v>7</v>
      </c>
      <c r="K247" t="s">
        <v>182</v>
      </c>
      <c r="L247" t="s">
        <v>686</v>
      </c>
      <c r="M247" t="s">
        <v>162</v>
      </c>
      <c r="N247" t="s">
        <v>11</v>
      </c>
      <c r="O247">
        <v>29</v>
      </c>
      <c r="P247" t="s">
        <v>91</v>
      </c>
      <c r="Q247" t="s">
        <v>13</v>
      </c>
      <c r="R247" t="s">
        <v>14</v>
      </c>
      <c r="S247" t="s">
        <v>15</v>
      </c>
      <c r="T247" t="s">
        <v>16</v>
      </c>
      <c r="U247">
        <v>2</v>
      </c>
      <c r="V247">
        <v>43</v>
      </c>
      <c r="W247">
        <v>129</v>
      </c>
      <c r="X247">
        <v>5</v>
      </c>
      <c r="Y247">
        <v>245.1</v>
      </c>
      <c r="Z247">
        <v>159.1</v>
      </c>
      <c r="AA247" t="s">
        <v>43</v>
      </c>
      <c r="AB247" t="s">
        <v>18</v>
      </c>
      <c r="AC247">
        <v>4</v>
      </c>
      <c r="AD247" t="s">
        <v>105</v>
      </c>
      <c r="AE247" t="s">
        <v>20</v>
      </c>
      <c r="AF247" t="str">
        <f t="shared" si="7"/>
        <v>Yes</v>
      </c>
    </row>
    <row r="248" spans="1:32" x14ac:dyDescent="0.3">
      <c r="A248" t="s">
        <v>687</v>
      </c>
      <c r="B248" s="1">
        <v>45789</v>
      </c>
      <c r="C248" t="s">
        <v>340</v>
      </c>
      <c r="D248">
        <f t="shared" si="6"/>
        <v>17</v>
      </c>
      <c r="E248" t="s">
        <v>47</v>
      </c>
      <c r="F248" t="s">
        <v>48</v>
      </c>
      <c r="G248" t="s">
        <v>23</v>
      </c>
      <c r="H248" t="s">
        <v>24</v>
      </c>
      <c r="I248" t="s">
        <v>25</v>
      </c>
      <c r="J248" t="s">
        <v>26</v>
      </c>
      <c r="K248" t="s">
        <v>167</v>
      </c>
      <c r="L248" t="s">
        <v>688</v>
      </c>
      <c r="M248" t="s">
        <v>261</v>
      </c>
      <c r="N248" t="s">
        <v>11</v>
      </c>
      <c r="O248">
        <v>56</v>
      </c>
      <c r="P248" t="s">
        <v>54</v>
      </c>
      <c r="Q248" t="s">
        <v>103</v>
      </c>
      <c r="R248" t="s">
        <v>104</v>
      </c>
      <c r="S248" t="s">
        <v>94</v>
      </c>
      <c r="T248" t="s">
        <v>35</v>
      </c>
      <c r="U248">
        <v>4</v>
      </c>
      <c r="V248">
        <v>57</v>
      </c>
      <c r="W248">
        <v>159.6</v>
      </c>
      <c r="X248">
        <v>10</v>
      </c>
      <c r="Y248">
        <v>574.55999999999995</v>
      </c>
      <c r="Z248">
        <v>346.56</v>
      </c>
      <c r="AA248" t="s">
        <v>36</v>
      </c>
      <c r="AB248" t="s">
        <v>119</v>
      </c>
      <c r="AC248">
        <v>4</v>
      </c>
      <c r="AD248" t="s">
        <v>105</v>
      </c>
      <c r="AE248" t="s">
        <v>20</v>
      </c>
      <c r="AF248" t="str">
        <f t="shared" si="7"/>
        <v>Yes</v>
      </c>
    </row>
    <row r="249" spans="1:32" x14ac:dyDescent="0.3">
      <c r="A249" t="s">
        <v>689</v>
      </c>
      <c r="B249" s="1">
        <v>45814</v>
      </c>
      <c r="C249" t="s">
        <v>71</v>
      </c>
      <c r="D249">
        <f t="shared" si="6"/>
        <v>10</v>
      </c>
      <c r="E249" t="s">
        <v>131</v>
      </c>
      <c r="F249" t="s">
        <v>48</v>
      </c>
      <c r="G249" t="s">
        <v>40</v>
      </c>
      <c r="H249" t="s">
        <v>5</v>
      </c>
      <c r="I249" t="s">
        <v>6</v>
      </c>
      <c r="J249" t="s">
        <v>7</v>
      </c>
      <c r="K249" t="s">
        <v>229</v>
      </c>
      <c r="L249" t="s">
        <v>528</v>
      </c>
      <c r="M249" t="s">
        <v>162</v>
      </c>
      <c r="N249" t="s">
        <v>11</v>
      </c>
      <c r="O249">
        <v>50</v>
      </c>
      <c r="P249" t="s">
        <v>31</v>
      </c>
      <c r="Q249" t="s">
        <v>280</v>
      </c>
      <c r="R249" t="s">
        <v>281</v>
      </c>
      <c r="S249" t="s">
        <v>218</v>
      </c>
      <c r="T249" t="s">
        <v>16</v>
      </c>
      <c r="U249">
        <v>2</v>
      </c>
      <c r="V249">
        <v>34</v>
      </c>
      <c r="W249">
        <v>74.8</v>
      </c>
      <c r="X249">
        <v>0</v>
      </c>
      <c r="Y249">
        <v>149.6</v>
      </c>
      <c r="Z249">
        <v>81.599999999999994</v>
      </c>
      <c r="AA249" t="s">
        <v>17</v>
      </c>
      <c r="AB249" t="s">
        <v>18</v>
      </c>
      <c r="AC249">
        <v>3</v>
      </c>
      <c r="AD249" t="s">
        <v>105</v>
      </c>
      <c r="AE249" t="s">
        <v>20</v>
      </c>
      <c r="AF249" t="str">
        <f t="shared" si="7"/>
        <v>Yes</v>
      </c>
    </row>
    <row r="250" spans="1:32" x14ac:dyDescent="0.3">
      <c r="A250" t="s">
        <v>690</v>
      </c>
      <c r="B250" s="1">
        <v>45677</v>
      </c>
      <c r="C250" t="s">
        <v>543</v>
      </c>
      <c r="D250">
        <f t="shared" si="6"/>
        <v>15</v>
      </c>
      <c r="E250" t="s">
        <v>2</v>
      </c>
      <c r="F250" t="s">
        <v>3</v>
      </c>
      <c r="G250" t="s">
        <v>23</v>
      </c>
      <c r="H250" t="s">
        <v>61</v>
      </c>
      <c r="I250" t="s">
        <v>62</v>
      </c>
      <c r="J250" t="s">
        <v>7</v>
      </c>
      <c r="K250" t="s">
        <v>245</v>
      </c>
      <c r="L250" t="s">
        <v>691</v>
      </c>
      <c r="M250" t="s">
        <v>162</v>
      </c>
      <c r="N250" t="s">
        <v>11</v>
      </c>
      <c r="O250">
        <v>59</v>
      </c>
      <c r="P250" t="s">
        <v>12</v>
      </c>
      <c r="Q250" t="s">
        <v>109</v>
      </c>
      <c r="R250" t="s">
        <v>110</v>
      </c>
      <c r="S250" t="s">
        <v>111</v>
      </c>
      <c r="T250" t="s">
        <v>16</v>
      </c>
      <c r="U250">
        <v>3</v>
      </c>
      <c r="V250">
        <v>83</v>
      </c>
      <c r="W250">
        <v>182.6</v>
      </c>
      <c r="X250">
        <v>15</v>
      </c>
      <c r="Y250">
        <v>465.63</v>
      </c>
      <c r="Z250">
        <v>216.63</v>
      </c>
      <c r="AA250" t="s">
        <v>43</v>
      </c>
      <c r="AB250" t="s">
        <v>129</v>
      </c>
      <c r="AC250">
        <v>5</v>
      </c>
      <c r="AD250" t="s">
        <v>19</v>
      </c>
      <c r="AE250" t="s">
        <v>20</v>
      </c>
      <c r="AF250" t="str">
        <f t="shared" si="7"/>
        <v>Yes</v>
      </c>
    </row>
    <row r="251" spans="1:32" x14ac:dyDescent="0.3">
      <c r="A251" t="s">
        <v>692</v>
      </c>
      <c r="B251" s="1">
        <v>45707</v>
      </c>
      <c r="C251" t="s">
        <v>113</v>
      </c>
      <c r="D251">
        <f t="shared" si="6"/>
        <v>8</v>
      </c>
      <c r="E251" t="s">
        <v>145</v>
      </c>
      <c r="F251" t="s">
        <v>3</v>
      </c>
      <c r="G251" t="s">
        <v>73</v>
      </c>
      <c r="H251" t="s">
        <v>122</v>
      </c>
      <c r="I251" t="s">
        <v>123</v>
      </c>
      <c r="J251" t="s">
        <v>7</v>
      </c>
      <c r="K251" t="s">
        <v>167</v>
      </c>
      <c r="L251" t="s">
        <v>693</v>
      </c>
      <c r="M251" t="s">
        <v>65</v>
      </c>
      <c r="N251" t="s">
        <v>30</v>
      </c>
      <c r="O251">
        <v>46</v>
      </c>
      <c r="P251" t="s">
        <v>54</v>
      </c>
      <c r="Q251" t="s">
        <v>193</v>
      </c>
      <c r="R251" t="s">
        <v>194</v>
      </c>
      <c r="S251" t="s">
        <v>172</v>
      </c>
      <c r="T251" t="s">
        <v>35</v>
      </c>
      <c r="U251">
        <v>1</v>
      </c>
      <c r="V251">
        <v>35</v>
      </c>
      <c r="W251">
        <v>87.5</v>
      </c>
      <c r="X251">
        <v>10</v>
      </c>
      <c r="Y251">
        <v>78.75</v>
      </c>
      <c r="Z251">
        <v>43.75</v>
      </c>
      <c r="AA251" t="s">
        <v>17</v>
      </c>
      <c r="AB251" t="s">
        <v>87</v>
      </c>
      <c r="AD251" t="s">
        <v>105</v>
      </c>
      <c r="AE251" t="s">
        <v>20</v>
      </c>
      <c r="AF251" t="str">
        <f t="shared" si="7"/>
        <v>Yes</v>
      </c>
    </row>
    <row r="252" spans="1:32" x14ac:dyDescent="0.3">
      <c r="A252" t="s">
        <v>694</v>
      </c>
      <c r="B252" s="1">
        <v>45781</v>
      </c>
      <c r="C252" t="s">
        <v>283</v>
      </c>
      <c r="D252">
        <f t="shared" si="6"/>
        <v>14</v>
      </c>
      <c r="E252" t="s">
        <v>47</v>
      </c>
      <c r="F252" t="s">
        <v>48</v>
      </c>
      <c r="G252" t="s">
        <v>4</v>
      </c>
      <c r="H252" t="s">
        <v>159</v>
      </c>
      <c r="I252" t="s">
        <v>160</v>
      </c>
      <c r="J252" t="s">
        <v>161</v>
      </c>
      <c r="K252" t="s">
        <v>83</v>
      </c>
      <c r="L252" t="s">
        <v>382</v>
      </c>
      <c r="M252" t="s">
        <v>140</v>
      </c>
      <c r="N252" t="s">
        <v>30</v>
      </c>
      <c r="O252">
        <v>55</v>
      </c>
      <c r="P252" t="s">
        <v>91</v>
      </c>
      <c r="Q252" t="s">
        <v>103</v>
      </c>
      <c r="R252" t="s">
        <v>104</v>
      </c>
      <c r="S252" t="s">
        <v>94</v>
      </c>
      <c r="T252" t="s">
        <v>35</v>
      </c>
      <c r="U252">
        <v>2</v>
      </c>
      <c r="V252">
        <v>57</v>
      </c>
      <c r="W252">
        <v>159.6</v>
      </c>
      <c r="X252">
        <v>0</v>
      </c>
      <c r="Y252">
        <v>319.2</v>
      </c>
      <c r="Z252">
        <v>205.2</v>
      </c>
      <c r="AA252" t="s">
        <v>17</v>
      </c>
      <c r="AB252" t="s">
        <v>44</v>
      </c>
      <c r="AC252">
        <v>5</v>
      </c>
      <c r="AD252" t="s">
        <v>105</v>
      </c>
      <c r="AE252" t="s">
        <v>20</v>
      </c>
      <c r="AF252" t="str">
        <f t="shared" si="7"/>
        <v>Yes</v>
      </c>
    </row>
    <row r="253" spans="1:32" x14ac:dyDescent="0.3">
      <c r="A253" t="s">
        <v>695</v>
      </c>
      <c r="B253" s="1">
        <v>45756</v>
      </c>
      <c r="C253" t="s">
        <v>265</v>
      </c>
      <c r="D253">
        <f t="shared" si="6"/>
        <v>7</v>
      </c>
      <c r="E253" t="s">
        <v>60</v>
      </c>
      <c r="F253" t="s">
        <v>48</v>
      </c>
      <c r="G253" t="s">
        <v>73</v>
      </c>
      <c r="H253" t="s">
        <v>81</v>
      </c>
      <c r="I253" t="s">
        <v>82</v>
      </c>
      <c r="J253" t="s">
        <v>7</v>
      </c>
      <c r="K253" t="s">
        <v>51</v>
      </c>
      <c r="L253" t="s">
        <v>452</v>
      </c>
      <c r="M253" t="s">
        <v>184</v>
      </c>
      <c r="N253" t="s">
        <v>11</v>
      </c>
      <c r="O253">
        <v>31</v>
      </c>
      <c r="P253" t="s">
        <v>76</v>
      </c>
      <c r="Q253" t="s">
        <v>295</v>
      </c>
      <c r="R253" t="s">
        <v>296</v>
      </c>
      <c r="S253" t="s">
        <v>57</v>
      </c>
      <c r="T253" t="s">
        <v>35</v>
      </c>
      <c r="U253">
        <v>4</v>
      </c>
      <c r="V253">
        <v>62</v>
      </c>
      <c r="W253">
        <v>186</v>
      </c>
      <c r="X253">
        <v>15</v>
      </c>
      <c r="Y253">
        <v>632.4</v>
      </c>
      <c r="Z253">
        <v>384.4</v>
      </c>
      <c r="AA253" t="s">
        <v>36</v>
      </c>
      <c r="AB253" t="s">
        <v>119</v>
      </c>
      <c r="AD253" t="s">
        <v>19</v>
      </c>
      <c r="AE253" t="s">
        <v>95</v>
      </c>
      <c r="AF253" t="str">
        <f t="shared" si="7"/>
        <v>No</v>
      </c>
    </row>
    <row r="254" spans="1:32" x14ac:dyDescent="0.3">
      <c r="A254" t="s">
        <v>696</v>
      </c>
      <c r="B254" s="1">
        <v>45787</v>
      </c>
      <c r="C254" t="s">
        <v>71</v>
      </c>
      <c r="D254">
        <f t="shared" si="6"/>
        <v>10</v>
      </c>
      <c r="E254" t="s">
        <v>47</v>
      </c>
      <c r="F254" t="s">
        <v>48</v>
      </c>
      <c r="G254" t="s">
        <v>132</v>
      </c>
      <c r="H254" t="s">
        <v>5</v>
      </c>
      <c r="I254" t="s">
        <v>6</v>
      </c>
      <c r="J254" t="s">
        <v>7</v>
      </c>
      <c r="K254" t="s">
        <v>138</v>
      </c>
      <c r="L254" t="s">
        <v>357</v>
      </c>
      <c r="M254" t="s">
        <v>261</v>
      </c>
      <c r="N254" t="s">
        <v>30</v>
      </c>
      <c r="O254">
        <v>60</v>
      </c>
      <c r="P254" t="s">
        <v>91</v>
      </c>
      <c r="Q254" t="s">
        <v>364</v>
      </c>
      <c r="R254" t="s">
        <v>365</v>
      </c>
      <c r="S254" t="s">
        <v>187</v>
      </c>
      <c r="T254" t="s">
        <v>35</v>
      </c>
      <c r="U254">
        <v>4</v>
      </c>
      <c r="V254">
        <v>28</v>
      </c>
      <c r="W254">
        <v>84</v>
      </c>
      <c r="X254">
        <v>0</v>
      </c>
      <c r="Y254">
        <v>336</v>
      </c>
      <c r="Z254">
        <v>224</v>
      </c>
      <c r="AA254" t="s">
        <v>69</v>
      </c>
      <c r="AB254" t="s">
        <v>44</v>
      </c>
      <c r="AC254">
        <v>3</v>
      </c>
      <c r="AD254" t="s">
        <v>105</v>
      </c>
      <c r="AE254" t="s">
        <v>20</v>
      </c>
      <c r="AF254" t="str">
        <f t="shared" si="7"/>
        <v>Yes</v>
      </c>
    </row>
    <row r="255" spans="1:32" x14ac:dyDescent="0.3">
      <c r="A255" t="s">
        <v>697</v>
      </c>
      <c r="B255" s="1">
        <v>45755</v>
      </c>
      <c r="C255" t="s">
        <v>214</v>
      </c>
      <c r="D255">
        <f t="shared" si="6"/>
        <v>7</v>
      </c>
      <c r="E255" t="s">
        <v>60</v>
      </c>
      <c r="F255" t="s">
        <v>48</v>
      </c>
      <c r="G255" t="s">
        <v>181</v>
      </c>
      <c r="H255" t="s">
        <v>99</v>
      </c>
      <c r="I255" t="s">
        <v>100</v>
      </c>
      <c r="J255" t="s">
        <v>101</v>
      </c>
      <c r="K255" t="s">
        <v>352</v>
      </c>
      <c r="L255" t="s">
        <v>621</v>
      </c>
      <c r="M255" t="s">
        <v>169</v>
      </c>
      <c r="N255" t="s">
        <v>30</v>
      </c>
      <c r="O255">
        <v>44</v>
      </c>
      <c r="P255" t="s">
        <v>91</v>
      </c>
      <c r="Q255" t="s">
        <v>226</v>
      </c>
      <c r="R255" t="s">
        <v>227</v>
      </c>
      <c r="S255" t="s">
        <v>68</v>
      </c>
      <c r="T255" t="s">
        <v>35</v>
      </c>
      <c r="U255">
        <v>3</v>
      </c>
      <c r="V255">
        <v>43</v>
      </c>
      <c r="W255">
        <v>94.6</v>
      </c>
      <c r="X255">
        <v>5</v>
      </c>
      <c r="Y255">
        <v>269.61</v>
      </c>
      <c r="Z255">
        <v>140.61000000000001</v>
      </c>
      <c r="AA255" t="s">
        <v>17</v>
      </c>
      <c r="AB255" t="s">
        <v>87</v>
      </c>
      <c r="AC255">
        <v>4</v>
      </c>
      <c r="AD255" t="s">
        <v>19</v>
      </c>
      <c r="AE255" t="s">
        <v>20</v>
      </c>
      <c r="AF255" t="str">
        <f t="shared" si="7"/>
        <v>Yes</v>
      </c>
    </row>
    <row r="256" spans="1:32" x14ac:dyDescent="0.3">
      <c r="A256" t="s">
        <v>698</v>
      </c>
      <c r="B256" s="1">
        <v>45750</v>
      </c>
      <c r="C256" t="s">
        <v>22</v>
      </c>
      <c r="D256">
        <f t="shared" si="6"/>
        <v>7</v>
      </c>
      <c r="E256" t="s">
        <v>60</v>
      </c>
      <c r="F256" t="s">
        <v>48</v>
      </c>
      <c r="G256" t="s">
        <v>98</v>
      </c>
      <c r="H256" t="s">
        <v>49</v>
      </c>
      <c r="I256" t="s">
        <v>50</v>
      </c>
      <c r="J256" t="s">
        <v>7</v>
      </c>
      <c r="K256" t="s">
        <v>83</v>
      </c>
      <c r="L256" t="s">
        <v>699</v>
      </c>
      <c r="M256" t="s">
        <v>162</v>
      </c>
      <c r="N256" t="s">
        <v>11</v>
      </c>
      <c r="O256">
        <v>19</v>
      </c>
      <c r="P256" t="s">
        <v>31</v>
      </c>
      <c r="Q256" t="s">
        <v>267</v>
      </c>
      <c r="R256" t="s">
        <v>268</v>
      </c>
      <c r="S256" t="s">
        <v>15</v>
      </c>
      <c r="T256" t="s">
        <v>35</v>
      </c>
      <c r="U256">
        <v>3</v>
      </c>
      <c r="V256">
        <v>87</v>
      </c>
      <c r="W256">
        <v>261</v>
      </c>
      <c r="X256">
        <v>10</v>
      </c>
      <c r="Y256">
        <v>704.7</v>
      </c>
      <c r="Z256">
        <v>443.7</v>
      </c>
      <c r="AA256" t="s">
        <v>36</v>
      </c>
      <c r="AB256" t="s">
        <v>18</v>
      </c>
      <c r="AD256" t="s">
        <v>19</v>
      </c>
      <c r="AE256" t="s">
        <v>20</v>
      </c>
      <c r="AF256" t="str">
        <f t="shared" si="7"/>
        <v>Yes</v>
      </c>
    </row>
    <row r="257" spans="1:32" x14ac:dyDescent="0.3">
      <c r="A257" t="s">
        <v>700</v>
      </c>
      <c r="B257" s="1">
        <v>45838</v>
      </c>
      <c r="C257" t="s">
        <v>554</v>
      </c>
      <c r="D257">
        <f t="shared" si="6"/>
        <v>11</v>
      </c>
      <c r="E257" t="s">
        <v>131</v>
      </c>
      <c r="F257" t="s">
        <v>48</v>
      </c>
      <c r="G257" t="s">
        <v>23</v>
      </c>
      <c r="H257" t="s">
        <v>150</v>
      </c>
      <c r="I257" t="s">
        <v>151</v>
      </c>
      <c r="J257" t="s">
        <v>152</v>
      </c>
      <c r="K257" t="s">
        <v>346</v>
      </c>
      <c r="L257" t="s">
        <v>200</v>
      </c>
      <c r="M257" t="s">
        <v>53</v>
      </c>
      <c r="N257" t="s">
        <v>30</v>
      </c>
      <c r="O257">
        <v>21</v>
      </c>
      <c r="P257" t="s">
        <v>12</v>
      </c>
      <c r="Q257" t="s">
        <v>272</v>
      </c>
      <c r="R257" t="s">
        <v>273</v>
      </c>
      <c r="S257" t="s">
        <v>57</v>
      </c>
      <c r="T257" t="s">
        <v>16</v>
      </c>
      <c r="U257">
        <v>2</v>
      </c>
      <c r="V257">
        <v>55</v>
      </c>
      <c r="W257">
        <v>154</v>
      </c>
      <c r="X257">
        <v>0</v>
      </c>
      <c r="Y257">
        <v>308</v>
      </c>
      <c r="Z257">
        <v>198</v>
      </c>
      <c r="AA257" t="s">
        <v>43</v>
      </c>
      <c r="AB257" t="s">
        <v>37</v>
      </c>
      <c r="AC257">
        <v>3</v>
      </c>
      <c r="AD257" t="s">
        <v>19</v>
      </c>
      <c r="AE257" t="s">
        <v>95</v>
      </c>
      <c r="AF257" t="str">
        <f t="shared" si="7"/>
        <v>No</v>
      </c>
    </row>
    <row r="258" spans="1:32" x14ac:dyDescent="0.3">
      <c r="A258" t="s">
        <v>701</v>
      </c>
      <c r="B258" s="1">
        <v>45682</v>
      </c>
      <c r="C258" t="s">
        <v>207</v>
      </c>
      <c r="D258">
        <f t="shared" ref="D258:D321" si="8">HOUR(C258)</f>
        <v>20</v>
      </c>
      <c r="E258" t="s">
        <v>2</v>
      </c>
      <c r="F258" t="s">
        <v>3</v>
      </c>
      <c r="G258" t="s">
        <v>132</v>
      </c>
      <c r="H258" t="s">
        <v>24</v>
      </c>
      <c r="I258" t="s">
        <v>25</v>
      </c>
      <c r="J258" t="s">
        <v>26</v>
      </c>
      <c r="K258" t="s">
        <v>8</v>
      </c>
      <c r="L258" t="s">
        <v>702</v>
      </c>
      <c r="M258" t="s">
        <v>261</v>
      </c>
      <c r="N258" t="s">
        <v>30</v>
      </c>
      <c r="O258">
        <v>21</v>
      </c>
      <c r="P258" t="s">
        <v>12</v>
      </c>
      <c r="Q258" t="s">
        <v>216</v>
      </c>
      <c r="R258" t="s">
        <v>217</v>
      </c>
      <c r="S258" t="s">
        <v>218</v>
      </c>
      <c r="T258" t="s">
        <v>35</v>
      </c>
      <c r="U258">
        <v>3</v>
      </c>
      <c r="V258">
        <v>67</v>
      </c>
      <c r="W258">
        <v>187.6</v>
      </c>
      <c r="X258">
        <v>15</v>
      </c>
      <c r="Y258">
        <v>478.38</v>
      </c>
      <c r="Z258">
        <v>277.38</v>
      </c>
      <c r="AA258" t="s">
        <v>43</v>
      </c>
      <c r="AB258" t="s">
        <v>129</v>
      </c>
      <c r="AC258">
        <v>3</v>
      </c>
      <c r="AD258" t="s">
        <v>19</v>
      </c>
      <c r="AE258" t="s">
        <v>20</v>
      </c>
      <c r="AF258" t="str">
        <f t="shared" si="7"/>
        <v>Yes</v>
      </c>
    </row>
    <row r="259" spans="1:32" x14ac:dyDescent="0.3">
      <c r="A259" t="s">
        <v>703</v>
      </c>
      <c r="B259" s="1">
        <v>45691</v>
      </c>
      <c r="C259" t="s">
        <v>672</v>
      </c>
      <c r="D259">
        <f t="shared" si="8"/>
        <v>14</v>
      </c>
      <c r="E259" t="s">
        <v>145</v>
      </c>
      <c r="F259" t="s">
        <v>3</v>
      </c>
      <c r="G259" t="s">
        <v>23</v>
      </c>
      <c r="H259" t="s">
        <v>122</v>
      </c>
      <c r="I259" t="s">
        <v>123</v>
      </c>
      <c r="J259" t="s">
        <v>7</v>
      </c>
      <c r="K259" t="s">
        <v>306</v>
      </c>
      <c r="L259" t="s">
        <v>458</v>
      </c>
      <c r="M259" t="s">
        <v>53</v>
      </c>
      <c r="N259" t="s">
        <v>11</v>
      </c>
      <c r="O259">
        <v>26</v>
      </c>
      <c r="P259" t="s">
        <v>31</v>
      </c>
      <c r="Q259" t="s">
        <v>272</v>
      </c>
      <c r="R259" t="s">
        <v>273</v>
      </c>
      <c r="S259" t="s">
        <v>57</v>
      </c>
      <c r="T259" t="s">
        <v>16</v>
      </c>
      <c r="U259">
        <v>2</v>
      </c>
      <c r="V259">
        <v>55</v>
      </c>
      <c r="W259">
        <v>154</v>
      </c>
      <c r="X259">
        <v>0</v>
      </c>
      <c r="Y259">
        <v>308</v>
      </c>
      <c r="Z259">
        <v>198</v>
      </c>
      <c r="AA259" t="s">
        <v>43</v>
      </c>
      <c r="AB259" t="s">
        <v>119</v>
      </c>
      <c r="AC259">
        <v>4</v>
      </c>
      <c r="AD259" t="s">
        <v>105</v>
      </c>
      <c r="AE259" t="s">
        <v>95</v>
      </c>
      <c r="AF259" t="str">
        <f t="shared" si="7"/>
        <v>No</v>
      </c>
    </row>
    <row r="260" spans="1:32" x14ac:dyDescent="0.3">
      <c r="A260" t="s">
        <v>704</v>
      </c>
      <c r="B260" s="1">
        <v>45743</v>
      </c>
      <c r="C260" t="s">
        <v>199</v>
      </c>
      <c r="D260">
        <f t="shared" si="8"/>
        <v>10</v>
      </c>
      <c r="E260" t="s">
        <v>72</v>
      </c>
      <c r="F260" t="s">
        <v>3</v>
      </c>
      <c r="G260" t="s">
        <v>98</v>
      </c>
      <c r="H260" t="s">
        <v>5</v>
      </c>
      <c r="I260" t="s">
        <v>6</v>
      </c>
      <c r="J260" t="s">
        <v>7</v>
      </c>
      <c r="K260" t="s">
        <v>196</v>
      </c>
      <c r="L260" t="s">
        <v>248</v>
      </c>
      <c r="M260" t="s">
        <v>29</v>
      </c>
      <c r="N260" t="s">
        <v>30</v>
      </c>
      <c r="O260">
        <v>42</v>
      </c>
      <c r="P260" t="s">
        <v>12</v>
      </c>
      <c r="Q260" t="s">
        <v>327</v>
      </c>
      <c r="R260" t="s">
        <v>328</v>
      </c>
      <c r="S260" t="s">
        <v>136</v>
      </c>
      <c r="T260" t="s">
        <v>16</v>
      </c>
      <c r="U260">
        <v>3</v>
      </c>
      <c r="V260">
        <v>73</v>
      </c>
      <c r="W260">
        <v>160.6</v>
      </c>
      <c r="X260">
        <v>5</v>
      </c>
      <c r="Y260">
        <v>457.71</v>
      </c>
      <c r="Z260">
        <v>238.71</v>
      </c>
      <c r="AA260" t="s">
        <v>17</v>
      </c>
      <c r="AB260" t="s">
        <v>37</v>
      </c>
      <c r="AC260">
        <v>4</v>
      </c>
      <c r="AD260" t="s">
        <v>19</v>
      </c>
      <c r="AE260" t="s">
        <v>95</v>
      </c>
      <c r="AF260" t="str">
        <f t="shared" ref="AF260:AF323" si="9">IF(AE260="Completed","Yes",IF(AE260="Cancelled","No","Review"))</f>
        <v>No</v>
      </c>
    </row>
    <row r="261" spans="1:32" x14ac:dyDescent="0.3">
      <c r="A261" t="s">
        <v>705</v>
      </c>
      <c r="B261" s="1">
        <v>45707</v>
      </c>
      <c r="C261" t="s">
        <v>59</v>
      </c>
      <c r="D261">
        <f t="shared" si="8"/>
        <v>16</v>
      </c>
      <c r="E261" t="s">
        <v>145</v>
      </c>
      <c r="F261" t="s">
        <v>3</v>
      </c>
      <c r="G261" t="s">
        <v>73</v>
      </c>
      <c r="H261" t="s">
        <v>99</v>
      </c>
      <c r="I261" t="s">
        <v>100</v>
      </c>
      <c r="J261" t="s">
        <v>101</v>
      </c>
      <c r="K261" t="s">
        <v>318</v>
      </c>
      <c r="L261" t="s">
        <v>706</v>
      </c>
      <c r="M261" t="s">
        <v>225</v>
      </c>
      <c r="N261" t="s">
        <v>30</v>
      </c>
      <c r="O261">
        <v>61</v>
      </c>
      <c r="P261" t="s">
        <v>31</v>
      </c>
      <c r="Q261" t="s">
        <v>226</v>
      </c>
      <c r="R261" t="s">
        <v>227</v>
      </c>
      <c r="S261" t="s">
        <v>68</v>
      </c>
      <c r="T261" t="s">
        <v>35</v>
      </c>
      <c r="U261">
        <v>2</v>
      </c>
      <c r="V261">
        <v>43</v>
      </c>
      <c r="W261">
        <v>94.6</v>
      </c>
      <c r="X261">
        <v>5</v>
      </c>
      <c r="Y261">
        <v>179.74</v>
      </c>
      <c r="Z261">
        <v>93.74</v>
      </c>
      <c r="AA261" t="s">
        <v>17</v>
      </c>
      <c r="AB261" t="s">
        <v>44</v>
      </c>
      <c r="AD261" t="s">
        <v>19</v>
      </c>
      <c r="AE261" t="s">
        <v>20</v>
      </c>
      <c r="AF261" t="str">
        <f t="shared" si="9"/>
        <v>Yes</v>
      </c>
    </row>
    <row r="262" spans="1:32" x14ac:dyDescent="0.3">
      <c r="A262" t="s">
        <v>707</v>
      </c>
      <c r="B262" s="1">
        <v>45805</v>
      </c>
      <c r="C262" t="s">
        <v>322</v>
      </c>
      <c r="D262">
        <f t="shared" si="8"/>
        <v>10</v>
      </c>
      <c r="E262" t="s">
        <v>47</v>
      </c>
      <c r="F262" t="s">
        <v>48</v>
      </c>
      <c r="G262" t="s">
        <v>73</v>
      </c>
      <c r="H262" t="s">
        <v>49</v>
      </c>
      <c r="I262" t="s">
        <v>50</v>
      </c>
      <c r="J262" t="s">
        <v>7</v>
      </c>
      <c r="K262" t="s">
        <v>229</v>
      </c>
      <c r="L262" t="s">
        <v>708</v>
      </c>
      <c r="M262" t="s">
        <v>29</v>
      </c>
      <c r="N262" t="s">
        <v>11</v>
      </c>
      <c r="O262">
        <v>16</v>
      </c>
      <c r="P262" t="s">
        <v>12</v>
      </c>
      <c r="Q262" t="s">
        <v>204</v>
      </c>
      <c r="R262" t="s">
        <v>205</v>
      </c>
      <c r="S262" t="s">
        <v>118</v>
      </c>
      <c r="T262" t="s">
        <v>35</v>
      </c>
      <c r="U262">
        <v>1</v>
      </c>
      <c r="V262">
        <v>59</v>
      </c>
      <c r="W262">
        <v>177</v>
      </c>
      <c r="X262">
        <v>10</v>
      </c>
      <c r="Y262">
        <v>159.30000000000001</v>
      </c>
      <c r="Z262">
        <v>100.3</v>
      </c>
      <c r="AA262" t="s">
        <v>43</v>
      </c>
      <c r="AB262" t="s">
        <v>87</v>
      </c>
      <c r="AC262">
        <v>3</v>
      </c>
      <c r="AD262" t="s">
        <v>19</v>
      </c>
      <c r="AE262" t="s">
        <v>20</v>
      </c>
      <c r="AF262" t="str">
        <f t="shared" si="9"/>
        <v>Yes</v>
      </c>
    </row>
    <row r="263" spans="1:32" x14ac:dyDescent="0.3">
      <c r="A263" t="s">
        <v>709</v>
      </c>
      <c r="B263" s="1">
        <v>45778</v>
      </c>
      <c r="C263" t="s">
        <v>283</v>
      </c>
      <c r="D263">
        <f t="shared" si="8"/>
        <v>14</v>
      </c>
      <c r="E263" t="s">
        <v>47</v>
      </c>
      <c r="F263" t="s">
        <v>48</v>
      </c>
      <c r="G263" t="s">
        <v>98</v>
      </c>
      <c r="H263" t="s">
        <v>61</v>
      </c>
      <c r="I263" t="s">
        <v>62</v>
      </c>
      <c r="J263" t="s">
        <v>7</v>
      </c>
      <c r="K263" t="s">
        <v>8</v>
      </c>
      <c r="L263" t="s">
        <v>319</v>
      </c>
      <c r="M263" t="s">
        <v>225</v>
      </c>
      <c r="N263" t="s">
        <v>11</v>
      </c>
      <c r="O263">
        <v>37</v>
      </c>
      <c r="P263" t="s">
        <v>54</v>
      </c>
      <c r="Q263" t="s">
        <v>710</v>
      </c>
      <c r="R263" t="s">
        <v>711</v>
      </c>
      <c r="S263" t="s">
        <v>94</v>
      </c>
      <c r="T263" t="s">
        <v>16</v>
      </c>
      <c r="U263">
        <v>1</v>
      </c>
      <c r="V263">
        <v>83</v>
      </c>
      <c r="W263">
        <v>182.6</v>
      </c>
      <c r="X263">
        <v>10</v>
      </c>
      <c r="Y263">
        <v>164.34</v>
      </c>
      <c r="Z263">
        <v>81.34</v>
      </c>
      <c r="AA263" t="s">
        <v>17</v>
      </c>
      <c r="AB263" t="s">
        <v>87</v>
      </c>
      <c r="AC263">
        <v>3</v>
      </c>
      <c r="AD263" t="s">
        <v>19</v>
      </c>
      <c r="AE263" t="s">
        <v>95</v>
      </c>
      <c r="AF263" t="str">
        <f t="shared" si="9"/>
        <v>No</v>
      </c>
    </row>
    <row r="264" spans="1:32" x14ac:dyDescent="0.3">
      <c r="A264" t="s">
        <v>712</v>
      </c>
      <c r="B264" s="1">
        <v>45723</v>
      </c>
      <c r="C264" t="s">
        <v>303</v>
      </c>
      <c r="D264">
        <f t="shared" si="8"/>
        <v>12</v>
      </c>
      <c r="E264" t="s">
        <v>72</v>
      </c>
      <c r="F264" t="s">
        <v>3</v>
      </c>
      <c r="G264" t="s">
        <v>40</v>
      </c>
      <c r="H264" t="s">
        <v>99</v>
      </c>
      <c r="I264" t="s">
        <v>100</v>
      </c>
      <c r="J264" t="s">
        <v>101</v>
      </c>
      <c r="K264" t="s">
        <v>196</v>
      </c>
      <c r="L264" t="s">
        <v>713</v>
      </c>
      <c r="M264" t="s">
        <v>225</v>
      </c>
      <c r="N264" t="s">
        <v>30</v>
      </c>
      <c r="O264">
        <v>56</v>
      </c>
      <c r="P264" t="s">
        <v>31</v>
      </c>
      <c r="Q264" t="s">
        <v>155</v>
      </c>
      <c r="R264" t="s">
        <v>156</v>
      </c>
      <c r="S264" t="s">
        <v>34</v>
      </c>
      <c r="T264" t="s">
        <v>16</v>
      </c>
      <c r="U264">
        <v>3</v>
      </c>
      <c r="V264">
        <v>40</v>
      </c>
      <c r="W264">
        <v>100</v>
      </c>
      <c r="X264">
        <v>0</v>
      </c>
      <c r="Y264">
        <v>300</v>
      </c>
      <c r="Z264">
        <v>180</v>
      </c>
      <c r="AA264" t="s">
        <v>36</v>
      </c>
      <c r="AB264" t="s">
        <v>129</v>
      </c>
      <c r="AD264" t="s">
        <v>105</v>
      </c>
      <c r="AE264" t="s">
        <v>20</v>
      </c>
      <c r="AF264" t="str">
        <f t="shared" si="9"/>
        <v>Yes</v>
      </c>
    </row>
    <row r="265" spans="1:32" x14ac:dyDescent="0.3">
      <c r="A265" t="s">
        <v>714</v>
      </c>
      <c r="B265" s="1">
        <v>45769</v>
      </c>
      <c r="C265" t="s">
        <v>259</v>
      </c>
      <c r="D265">
        <f t="shared" si="8"/>
        <v>18</v>
      </c>
      <c r="E265" t="s">
        <v>60</v>
      </c>
      <c r="F265" t="s">
        <v>48</v>
      </c>
      <c r="G265" t="s">
        <v>181</v>
      </c>
      <c r="H265" t="s">
        <v>81</v>
      </c>
      <c r="I265" t="s">
        <v>82</v>
      </c>
      <c r="J265" t="s">
        <v>7</v>
      </c>
      <c r="K265" t="s">
        <v>245</v>
      </c>
      <c r="L265" t="s">
        <v>715</v>
      </c>
      <c r="M265" t="s">
        <v>184</v>
      </c>
      <c r="N265" t="s">
        <v>30</v>
      </c>
      <c r="O265">
        <v>29</v>
      </c>
      <c r="P265" t="s">
        <v>54</v>
      </c>
      <c r="Q265" t="s">
        <v>216</v>
      </c>
      <c r="R265" t="s">
        <v>217</v>
      </c>
      <c r="S265" t="s">
        <v>218</v>
      </c>
      <c r="T265" t="s">
        <v>35</v>
      </c>
      <c r="U265">
        <v>2</v>
      </c>
      <c r="V265">
        <v>67</v>
      </c>
      <c r="W265">
        <v>187.6</v>
      </c>
      <c r="X265">
        <v>5</v>
      </c>
      <c r="Y265">
        <v>356.44</v>
      </c>
      <c r="Z265">
        <v>222.44</v>
      </c>
      <c r="AA265" t="s">
        <v>43</v>
      </c>
      <c r="AB265" t="s">
        <v>44</v>
      </c>
      <c r="AC265">
        <v>4</v>
      </c>
      <c r="AD265" t="s">
        <v>19</v>
      </c>
      <c r="AE265" t="s">
        <v>20</v>
      </c>
      <c r="AF265" t="str">
        <f t="shared" si="9"/>
        <v>Yes</v>
      </c>
    </row>
    <row r="266" spans="1:32" x14ac:dyDescent="0.3">
      <c r="A266" t="s">
        <v>716</v>
      </c>
      <c r="B266" s="1">
        <v>45665</v>
      </c>
      <c r="C266" t="s">
        <v>113</v>
      </c>
      <c r="D266">
        <f t="shared" si="8"/>
        <v>8</v>
      </c>
      <c r="E266" t="s">
        <v>2</v>
      </c>
      <c r="F266" t="s">
        <v>3</v>
      </c>
      <c r="G266" t="s">
        <v>73</v>
      </c>
      <c r="H266" t="s">
        <v>99</v>
      </c>
      <c r="I266" t="s">
        <v>100</v>
      </c>
      <c r="J266" t="s">
        <v>101</v>
      </c>
      <c r="K266" t="s">
        <v>74</v>
      </c>
      <c r="L266" t="s">
        <v>514</v>
      </c>
      <c r="M266" t="s">
        <v>53</v>
      </c>
      <c r="N266" t="s">
        <v>11</v>
      </c>
      <c r="O266">
        <v>22</v>
      </c>
      <c r="P266" t="s">
        <v>76</v>
      </c>
      <c r="Q266" t="s">
        <v>211</v>
      </c>
      <c r="R266" t="s">
        <v>212</v>
      </c>
      <c r="S266" t="s">
        <v>128</v>
      </c>
      <c r="T266" t="s">
        <v>16</v>
      </c>
      <c r="U266">
        <v>4</v>
      </c>
      <c r="V266">
        <v>50</v>
      </c>
      <c r="W266">
        <v>140</v>
      </c>
      <c r="X266">
        <v>0</v>
      </c>
      <c r="Y266">
        <v>560</v>
      </c>
      <c r="Z266">
        <v>360</v>
      </c>
      <c r="AA266" t="s">
        <v>17</v>
      </c>
      <c r="AB266" t="s">
        <v>44</v>
      </c>
      <c r="AC266">
        <v>3</v>
      </c>
      <c r="AD266" t="s">
        <v>105</v>
      </c>
      <c r="AE266" t="s">
        <v>20</v>
      </c>
      <c r="AF266" t="str">
        <f t="shared" si="9"/>
        <v>Yes</v>
      </c>
    </row>
    <row r="267" spans="1:32" x14ac:dyDescent="0.3">
      <c r="A267" t="s">
        <v>717</v>
      </c>
      <c r="B267" s="1">
        <v>45664</v>
      </c>
      <c r="C267" t="s">
        <v>80</v>
      </c>
      <c r="D267">
        <f t="shared" si="8"/>
        <v>10</v>
      </c>
      <c r="E267" t="s">
        <v>2</v>
      </c>
      <c r="F267" t="s">
        <v>3</v>
      </c>
      <c r="G267" t="s">
        <v>181</v>
      </c>
      <c r="H267" t="s">
        <v>99</v>
      </c>
      <c r="I267" t="s">
        <v>100</v>
      </c>
      <c r="J267" t="s">
        <v>101</v>
      </c>
      <c r="K267" t="s">
        <v>311</v>
      </c>
      <c r="L267" t="s">
        <v>718</v>
      </c>
      <c r="M267" t="s">
        <v>261</v>
      </c>
      <c r="N267" t="s">
        <v>11</v>
      </c>
      <c r="O267">
        <v>54</v>
      </c>
      <c r="P267" t="s">
        <v>31</v>
      </c>
      <c r="Q267" t="s">
        <v>176</v>
      </c>
      <c r="R267" t="s">
        <v>177</v>
      </c>
      <c r="S267" t="s">
        <v>178</v>
      </c>
      <c r="T267" t="s">
        <v>16</v>
      </c>
      <c r="U267">
        <v>4</v>
      </c>
      <c r="V267">
        <v>56</v>
      </c>
      <c r="W267">
        <v>156.80000000000001</v>
      </c>
      <c r="X267">
        <v>0</v>
      </c>
      <c r="Y267">
        <v>627.20000000000005</v>
      </c>
      <c r="Z267">
        <v>403.2</v>
      </c>
      <c r="AA267" t="s">
        <v>43</v>
      </c>
      <c r="AB267" t="s">
        <v>18</v>
      </c>
      <c r="AC267">
        <v>3</v>
      </c>
      <c r="AD267" t="s">
        <v>19</v>
      </c>
      <c r="AE267" t="s">
        <v>20</v>
      </c>
      <c r="AF267" t="str">
        <f t="shared" si="9"/>
        <v>Yes</v>
      </c>
    </row>
    <row r="268" spans="1:32" x14ac:dyDescent="0.3">
      <c r="A268" t="s">
        <v>719</v>
      </c>
      <c r="B268" s="1">
        <v>45720</v>
      </c>
      <c r="C268" t="s">
        <v>554</v>
      </c>
      <c r="D268">
        <f t="shared" si="8"/>
        <v>11</v>
      </c>
      <c r="E268" t="s">
        <v>72</v>
      </c>
      <c r="F268" t="s">
        <v>3</v>
      </c>
      <c r="G268" t="s">
        <v>181</v>
      </c>
      <c r="H268" t="s">
        <v>150</v>
      </c>
      <c r="I268" t="s">
        <v>151</v>
      </c>
      <c r="J268" t="s">
        <v>152</v>
      </c>
      <c r="K268" t="s">
        <v>146</v>
      </c>
      <c r="L268" t="s">
        <v>338</v>
      </c>
      <c r="M268" t="s">
        <v>65</v>
      </c>
      <c r="N268" t="s">
        <v>11</v>
      </c>
      <c r="O268">
        <v>59</v>
      </c>
      <c r="P268" t="s">
        <v>76</v>
      </c>
      <c r="Q268" t="s">
        <v>272</v>
      </c>
      <c r="R268" t="s">
        <v>273</v>
      </c>
      <c r="S268" t="s">
        <v>57</v>
      </c>
      <c r="T268" t="s">
        <v>16</v>
      </c>
      <c r="U268">
        <v>3</v>
      </c>
      <c r="V268">
        <v>55</v>
      </c>
      <c r="W268">
        <v>154</v>
      </c>
      <c r="X268">
        <v>5</v>
      </c>
      <c r="Y268">
        <v>438.9</v>
      </c>
      <c r="Z268">
        <v>273.89999999999998</v>
      </c>
      <c r="AA268" t="s">
        <v>179</v>
      </c>
      <c r="AB268" t="s">
        <v>129</v>
      </c>
      <c r="AD268" t="s">
        <v>105</v>
      </c>
      <c r="AE268" t="s">
        <v>20</v>
      </c>
      <c r="AF268" t="str">
        <f t="shared" si="9"/>
        <v>Yes</v>
      </c>
    </row>
    <row r="269" spans="1:32" x14ac:dyDescent="0.3">
      <c r="A269" t="s">
        <v>720</v>
      </c>
      <c r="B269" s="1">
        <v>45726</v>
      </c>
      <c r="C269" t="s">
        <v>337</v>
      </c>
      <c r="D269">
        <f t="shared" si="8"/>
        <v>17</v>
      </c>
      <c r="E269" t="s">
        <v>72</v>
      </c>
      <c r="F269" t="s">
        <v>3</v>
      </c>
      <c r="G269" t="s">
        <v>23</v>
      </c>
      <c r="H269" t="s">
        <v>164</v>
      </c>
      <c r="I269" t="s">
        <v>165</v>
      </c>
      <c r="J269" t="s">
        <v>166</v>
      </c>
      <c r="K269" t="s">
        <v>323</v>
      </c>
      <c r="L269" t="s">
        <v>721</v>
      </c>
      <c r="M269" t="s">
        <v>53</v>
      </c>
      <c r="N269" t="s">
        <v>11</v>
      </c>
      <c r="O269">
        <v>30</v>
      </c>
      <c r="P269" t="s">
        <v>31</v>
      </c>
      <c r="Q269" t="s">
        <v>370</v>
      </c>
      <c r="R269" t="s">
        <v>371</v>
      </c>
      <c r="S269" t="s">
        <v>111</v>
      </c>
      <c r="T269" t="s">
        <v>35</v>
      </c>
      <c r="U269">
        <v>2</v>
      </c>
      <c r="V269">
        <v>99</v>
      </c>
      <c r="W269">
        <v>247.5</v>
      </c>
      <c r="X269">
        <v>5</v>
      </c>
      <c r="Y269">
        <v>470.25</v>
      </c>
      <c r="Z269">
        <v>272.25</v>
      </c>
      <c r="AA269" t="s">
        <v>17</v>
      </c>
      <c r="AB269" t="s">
        <v>119</v>
      </c>
      <c r="AC269">
        <v>4</v>
      </c>
      <c r="AD269" t="s">
        <v>19</v>
      </c>
      <c r="AE269" t="s">
        <v>95</v>
      </c>
      <c r="AF269" t="str">
        <f t="shared" si="9"/>
        <v>No</v>
      </c>
    </row>
    <row r="270" spans="1:32" x14ac:dyDescent="0.3">
      <c r="A270" t="s">
        <v>722</v>
      </c>
      <c r="B270" s="1">
        <v>45789</v>
      </c>
      <c r="C270" t="s">
        <v>516</v>
      </c>
      <c r="D270">
        <f t="shared" si="8"/>
        <v>16</v>
      </c>
      <c r="E270" t="s">
        <v>47</v>
      </c>
      <c r="F270" t="s">
        <v>48</v>
      </c>
      <c r="G270" t="s">
        <v>23</v>
      </c>
      <c r="H270" t="s">
        <v>164</v>
      </c>
      <c r="I270" t="s">
        <v>165</v>
      </c>
      <c r="J270" t="s">
        <v>166</v>
      </c>
      <c r="K270" t="s">
        <v>114</v>
      </c>
      <c r="L270" t="s">
        <v>468</v>
      </c>
      <c r="M270" t="s">
        <v>184</v>
      </c>
      <c r="N270" t="s">
        <v>11</v>
      </c>
      <c r="O270">
        <v>26</v>
      </c>
      <c r="P270" t="s">
        <v>54</v>
      </c>
      <c r="Q270" t="s">
        <v>240</v>
      </c>
      <c r="R270" t="s">
        <v>241</v>
      </c>
      <c r="S270" t="s">
        <v>242</v>
      </c>
      <c r="T270" t="s">
        <v>35</v>
      </c>
      <c r="U270">
        <v>3</v>
      </c>
      <c r="V270">
        <v>89</v>
      </c>
      <c r="W270">
        <v>267</v>
      </c>
      <c r="X270">
        <v>15</v>
      </c>
      <c r="Y270">
        <v>680.85</v>
      </c>
      <c r="Z270">
        <v>413.85</v>
      </c>
      <c r="AA270" t="s">
        <v>43</v>
      </c>
      <c r="AB270" t="s">
        <v>87</v>
      </c>
      <c r="AD270" t="s">
        <v>19</v>
      </c>
      <c r="AE270" t="s">
        <v>20</v>
      </c>
      <c r="AF270" t="str">
        <f t="shared" si="9"/>
        <v>Yes</v>
      </c>
    </row>
    <row r="271" spans="1:32" x14ac:dyDescent="0.3">
      <c r="A271" t="s">
        <v>723</v>
      </c>
      <c r="B271" s="1">
        <v>45833</v>
      </c>
      <c r="C271" t="s">
        <v>121</v>
      </c>
      <c r="D271">
        <f t="shared" si="8"/>
        <v>9</v>
      </c>
      <c r="E271" t="s">
        <v>131</v>
      </c>
      <c r="F271" t="s">
        <v>48</v>
      </c>
      <c r="G271" t="s">
        <v>73</v>
      </c>
      <c r="H271" t="s">
        <v>61</v>
      </c>
      <c r="I271" t="s">
        <v>62</v>
      </c>
      <c r="J271" t="s">
        <v>7</v>
      </c>
      <c r="K271" t="s">
        <v>245</v>
      </c>
      <c r="L271" t="s">
        <v>724</v>
      </c>
      <c r="M271" t="s">
        <v>65</v>
      </c>
      <c r="N271" t="s">
        <v>30</v>
      </c>
      <c r="O271">
        <v>62</v>
      </c>
      <c r="P271" t="s">
        <v>31</v>
      </c>
      <c r="Q271" t="s">
        <v>605</v>
      </c>
      <c r="R271" t="s">
        <v>606</v>
      </c>
      <c r="S271" t="s">
        <v>237</v>
      </c>
      <c r="T271" t="s">
        <v>35</v>
      </c>
      <c r="U271">
        <v>3</v>
      </c>
      <c r="V271">
        <v>79</v>
      </c>
      <c r="W271">
        <v>173.8</v>
      </c>
      <c r="X271">
        <v>10</v>
      </c>
      <c r="Y271">
        <v>469.26</v>
      </c>
      <c r="Z271">
        <v>232.26</v>
      </c>
      <c r="AA271" t="s">
        <v>43</v>
      </c>
      <c r="AB271" t="s">
        <v>87</v>
      </c>
      <c r="AC271">
        <v>4</v>
      </c>
      <c r="AD271" t="s">
        <v>19</v>
      </c>
      <c r="AE271" t="s">
        <v>20</v>
      </c>
      <c r="AF271" t="str">
        <f t="shared" si="9"/>
        <v>Yes</v>
      </c>
    </row>
    <row r="272" spans="1:32" x14ac:dyDescent="0.3">
      <c r="A272" t="s">
        <v>725</v>
      </c>
      <c r="B272" s="1">
        <v>45708</v>
      </c>
      <c r="C272" t="s">
        <v>388</v>
      </c>
      <c r="D272">
        <f t="shared" si="8"/>
        <v>19</v>
      </c>
      <c r="E272" t="s">
        <v>145</v>
      </c>
      <c r="F272" t="s">
        <v>3</v>
      </c>
      <c r="G272" t="s">
        <v>98</v>
      </c>
      <c r="H272" t="s">
        <v>150</v>
      </c>
      <c r="I272" t="s">
        <v>151</v>
      </c>
      <c r="J272" t="s">
        <v>152</v>
      </c>
      <c r="K272" t="s">
        <v>346</v>
      </c>
      <c r="L272" t="s">
        <v>479</v>
      </c>
      <c r="M272" t="s">
        <v>261</v>
      </c>
      <c r="N272" t="s">
        <v>30</v>
      </c>
      <c r="O272">
        <v>46</v>
      </c>
      <c r="P272" t="s">
        <v>76</v>
      </c>
      <c r="Q272" t="s">
        <v>185</v>
      </c>
      <c r="R272" t="s">
        <v>186</v>
      </c>
      <c r="S272" t="s">
        <v>187</v>
      </c>
      <c r="T272" t="s">
        <v>35</v>
      </c>
      <c r="U272">
        <v>3</v>
      </c>
      <c r="V272">
        <v>57</v>
      </c>
      <c r="W272">
        <v>159.6</v>
      </c>
      <c r="X272">
        <v>15</v>
      </c>
      <c r="Y272">
        <v>406.98</v>
      </c>
      <c r="Z272">
        <v>235.98</v>
      </c>
      <c r="AA272" t="s">
        <v>69</v>
      </c>
      <c r="AB272" t="s">
        <v>129</v>
      </c>
      <c r="AC272">
        <v>4</v>
      </c>
      <c r="AD272" t="s">
        <v>19</v>
      </c>
      <c r="AE272" t="s">
        <v>20</v>
      </c>
      <c r="AF272" t="str">
        <f t="shared" si="9"/>
        <v>Yes</v>
      </c>
    </row>
    <row r="273" spans="1:32" x14ac:dyDescent="0.3">
      <c r="A273" t="s">
        <v>726</v>
      </c>
      <c r="B273" s="1">
        <v>45730</v>
      </c>
      <c r="C273" t="s">
        <v>265</v>
      </c>
      <c r="D273">
        <f t="shared" si="8"/>
        <v>7</v>
      </c>
      <c r="E273" t="s">
        <v>72</v>
      </c>
      <c r="F273" t="s">
        <v>3</v>
      </c>
      <c r="G273" t="s">
        <v>40</v>
      </c>
      <c r="H273" t="s">
        <v>24</v>
      </c>
      <c r="I273" t="s">
        <v>25</v>
      </c>
      <c r="J273" t="s">
        <v>26</v>
      </c>
      <c r="K273" t="s">
        <v>323</v>
      </c>
      <c r="L273" t="s">
        <v>727</v>
      </c>
      <c r="M273" t="s">
        <v>53</v>
      </c>
      <c r="N273" t="s">
        <v>11</v>
      </c>
      <c r="O273">
        <v>22</v>
      </c>
      <c r="P273" t="s">
        <v>76</v>
      </c>
      <c r="Q273" t="s">
        <v>308</v>
      </c>
      <c r="R273" t="s">
        <v>309</v>
      </c>
      <c r="S273" t="s">
        <v>187</v>
      </c>
      <c r="T273" t="s">
        <v>35</v>
      </c>
      <c r="U273">
        <v>3</v>
      </c>
      <c r="V273">
        <v>31</v>
      </c>
      <c r="W273">
        <v>77.5</v>
      </c>
      <c r="X273">
        <v>10</v>
      </c>
      <c r="Y273">
        <v>209.25</v>
      </c>
      <c r="Z273">
        <v>116.25</v>
      </c>
      <c r="AA273" t="s">
        <v>69</v>
      </c>
      <c r="AB273" t="s">
        <v>87</v>
      </c>
      <c r="AC273">
        <v>4</v>
      </c>
      <c r="AD273" t="s">
        <v>105</v>
      </c>
      <c r="AE273" t="s">
        <v>95</v>
      </c>
      <c r="AF273" t="str">
        <f t="shared" si="9"/>
        <v>No</v>
      </c>
    </row>
    <row r="274" spans="1:32" x14ac:dyDescent="0.3">
      <c r="A274" t="s">
        <v>728</v>
      </c>
      <c r="B274" s="1">
        <v>45824</v>
      </c>
      <c r="C274" t="s">
        <v>202</v>
      </c>
      <c r="D274">
        <f t="shared" si="8"/>
        <v>11</v>
      </c>
      <c r="E274" t="s">
        <v>131</v>
      </c>
      <c r="F274" t="s">
        <v>48</v>
      </c>
      <c r="G274" t="s">
        <v>23</v>
      </c>
      <c r="H274" t="s">
        <v>61</v>
      </c>
      <c r="I274" t="s">
        <v>62</v>
      </c>
      <c r="J274" t="s">
        <v>7</v>
      </c>
      <c r="K274" t="s">
        <v>146</v>
      </c>
      <c r="L274" t="s">
        <v>729</v>
      </c>
      <c r="M274" t="s">
        <v>162</v>
      </c>
      <c r="N274" t="s">
        <v>30</v>
      </c>
      <c r="O274">
        <v>17</v>
      </c>
      <c r="P274" t="s">
        <v>31</v>
      </c>
      <c r="Q274" t="s">
        <v>193</v>
      </c>
      <c r="R274" t="s">
        <v>194</v>
      </c>
      <c r="S274" t="s">
        <v>172</v>
      </c>
      <c r="T274" t="s">
        <v>35</v>
      </c>
      <c r="U274">
        <v>4</v>
      </c>
      <c r="V274">
        <v>35</v>
      </c>
      <c r="W274">
        <v>87.5</v>
      </c>
      <c r="X274">
        <v>0</v>
      </c>
      <c r="Y274">
        <v>350</v>
      </c>
      <c r="Z274">
        <v>210</v>
      </c>
      <c r="AA274" t="s">
        <v>17</v>
      </c>
      <c r="AB274" t="s">
        <v>37</v>
      </c>
      <c r="AD274" t="s">
        <v>19</v>
      </c>
      <c r="AE274" t="s">
        <v>20</v>
      </c>
      <c r="AF274" t="str">
        <f t="shared" si="9"/>
        <v>Yes</v>
      </c>
    </row>
    <row r="275" spans="1:32" x14ac:dyDescent="0.3">
      <c r="A275" t="s">
        <v>730</v>
      </c>
      <c r="B275" s="1">
        <v>45668</v>
      </c>
      <c r="C275" t="s">
        <v>191</v>
      </c>
      <c r="D275">
        <f t="shared" si="8"/>
        <v>19</v>
      </c>
      <c r="E275" t="s">
        <v>2</v>
      </c>
      <c r="F275" t="s">
        <v>3</v>
      </c>
      <c r="G275" t="s">
        <v>132</v>
      </c>
      <c r="H275" t="s">
        <v>159</v>
      </c>
      <c r="I275" t="s">
        <v>160</v>
      </c>
      <c r="J275" t="s">
        <v>161</v>
      </c>
      <c r="K275" t="s">
        <v>8</v>
      </c>
      <c r="L275" t="s">
        <v>731</v>
      </c>
      <c r="M275" t="s">
        <v>184</v>
      </c>
      <c r="N275" t="s">
        <v>11</v>
      </c>
      <c r="O275">
        <v>51</v>
      </c>
      <c r="P275" t="s">
        <v>31</v>
      </c>
      <c r="Q275" t="s">
        <v>126</v>
      </c>
      <c r="R275" t="s">
        <v>127</v>
      </c>
      <c r="S275" t="s">
        <v>128</v>
      </c>
      <c r="T275" t="s">
        <v>35</v>
      </c>
      <c r="U275">
        <v>1</v>
      </c>
      <c r="V275">
        <v>69</v>
      </c>
      <c r="W275">
        <v>193.2</v>
      </c>
      <c r="X275">
        <v>15</v>
      </c>
      <c r="Y275">
        <v>164.22</v>
      </c>
      <c r="Z275">
        <v>95.22</v>
      </c>
      <c r="AA275" t="s">
        <v>17</v>
      </c>
      <c r="AB275" t="s">
        <v>44</v>
      </c>
      <c r="AC275">
        <v>5</v>
      </c>
      <c r="AD275" t="s">
        <v>19</v>
      </c>
      <c r="AE275" t="s">
        <v>95</v>
      </c>
      <c r="AF275" t="str">
        <f t="shared" si="9"/>
        <v>No</v>
      </c>
    </row>
    <row r="276" spans="1:32" x14ac:dyDescent="0.3">
      <c r="A276" t="s">
        <v>732</v>
      </c>
      <c r="B276" s="1">
        <v>45671</v>
      </c>
      <c r="C276" t="s">
        <v>189</v>
      </c>
      <c r="D276">
        <f t="shared" si="8"/>
        <v>9</v>
      </c>
      <c r="E276" t="s">
        <v>2</v>
      </c>
      <c r="F276" t="s">
        <v>3</v>
      </c>
      <c r="G276" t="s">
        <v>181</v>
      </c>
      <c r="H276" t="s">
        <v>49</v>
      </c>
      <c r="I276" t="s">
        <v>50</v>
      </c>
      <c r="J276" t="s">
        <v>7</v>
      </c>
      <c r="K276" t="s">
        <v>323</v>
      </c>
      <c r="L276" t="s">
        <v>369</v>
      </c>
      <c r="M276" t="s">
        <v>225</v>
      </c>
      <c r="N276" t="s">
        <v>11</v>
      </c>
      <c r="O276">
        <v>18</v>
      </c>
      <c r="P276" t="s">
        <v>31</v>
      </c>
      <c r="Q276" t="s">
        <v>327</v>
      </c>
      <c r="R276" t="s">
        <v>328</v>
      </c>
      <c r="S276" t="s">
        <v>136</v>
      </c>
      <c r="T276" t="s">
        <v>16</v>
      </c>
      <c r="U276">
        <v>3</v>
      </c>
      <c r="V276">
        <v>73</v>
      </c>
      <c r="W276">
        <v>160.6</v>
      </c>
      <c r="X276">
        <v>10</v>
      </c>
      <c r="Y276">
        <v>433.62</v>
      </c>
      <c r="Z276">
        <v>214.62</v>
      </c>
      <c r="AA276" t="s">
        <v>43</v>
      </c>
      <c r="AB276" t="s">
        <v>129</v>
      </c>
      <c r="AC276">
        <v>4</v>
      </c>
      <c r="AD276" t="s">
        <v>19</v>
      </c>
      <c r="AE276" t="s">
        <v>20</v>
      </c>
      <c r="AF276" t="str">
        <f t="shared" si="9"/>
        <v>Yes</v>
      </c>
    </row>
    <row r="277" spans="1:32" x14ac:dyDescent="0.3">
      <c r="A277" t="s">
        <v>733</v>
      </c>
      <c r="B277" s="1">
        <v>45765</v>
      </c>
      <c r="C277" t="s">
        <v>298</v>
      </c>
      <c r="D277">
        <f t="shared" si="8"/>
        <v>11</v>
      </c>
      <c r="E277" t="s">
        <v>60</v>
      </c>
      <c r="F277" t="s">
        <v>48</v>
      </c>
      <c r="G277" t="s">
        <v>40</v>
      </c>
      <c r="H277" t="s">
        <v>122</v>
      </c>
      <c r="I277" t="s">
        <v>123</v>
      </c>
      <c r="J277" t="s">
        <v>7</v>
      </c>
      <c r="K277" t="s">
        <v>318</v>
      </c>
      <c r="L277" t="s">
        <v>222</v>
      </c>
      <c r="M277" t="s">
        <v>169</v>
      </c>
      <c r="N277" t="s">
        <v>11</v>
      </c>
      <c r="O277">
        <v>52</v>
      </c>
      <c r="P277" t="s">
        <v>12</v>
      </c>
      <c r="Q277" t="s">
        <v>103</v>
      </c>
      <c r="R277" t="s">
        <v>104</v>
      </c>
      <c r="S277" t="s">
        <v>94</v>
      </c>
      <c r="T277" t="s">
        <v>35</v>
      </c>
      <c r="U277">
        <v>1</v>
      </c>
      <c r="V277">
        <v>57</v>
      </c>
      <c r="W277">
        <v>159.6</v>
      </c>
      <c r="X277">
        <v>0</v>
      </c>
      <c r="Y277">
        <v>159.6</v>
      </c>
      <c r="Z277">
        <v>102.6</v>
      </c>
      <c r="AA277" t="s">
        <v>43</v>
      </c>
      <c r="AB277" t="s">
        <v>129</v>
      </c>
      <c r="AC277">
        <v>4</v>
      </c>
      <c r="AD277" t="s">
        <v>105</v>
      </c>
      <c r="AE277" t="s">
        <v>20</v>
      </c>
      <c r="AF277" t="str">
        <f t="shared" si="9"/>
        <v>Yes</v>
      </c>
    </row>
    <row r="278" spans="1:32" x14ac:dyDescent="0.3">
      <c r="A278" t="s">
        <v>734</v>
      </c>
      <c r="B278" s="1">
        <v>45765</v>
      </c>
      <c r="C278" t="s">
        <v>554</v>
      </c>
      <c r="D278">
        <f t="shared" si="8"/>
        <v>11</v>
      </c>
      <c r="E278" t="s">
        <v>60</v>
      </c>
      <c r="F278" t="s">
        <v>48</v>
      </c>
      <c r="G278" t="s">
        <v>40</v>
      </c>
      <c r="H278" t="s">
        <v>159</v>
      </c>
      <c r="I278" t="s">
        <v>160</v>
      </c>
      <c r="J278" t="s">
        <v>161</v>
      </c>
      <c r="K278" t="s">
        <v>146</v>
      </c>
      <c r="L278" t="s">
        <v>234</v>
      </c>
      <c r="M278" t="s">
        <v>53</v>
      </c>
      <c r="N278" t="s">
        <v>30</v>
      </c>
      <c r="O278">
        <v>46</v>
      </c>
      <c r="P278" t="s">
        <v>76</v>
      </c>
      <c r="Q278" t="s">
        <v>272</v>
      </c>
      <c r="R278" t="s">
        <v>273</v>
      </c>
      <c r="S278" t="s">
        <v>57</v>
      </c>
      <c r="T278" t="s">
        <v>16</v>
      </c>
      <c r="U278">
        <v>2</v>
      </c>
      <c r="V278">
        <v>55</v>
      </c>
      <c r="W278">
        <v>154</v>
      </c>
      <c r="X278">
        <v>0</v>
      </c>
      <c r="Y278">
        <v>308</v>
      </c>
      <c r="Z278">
        <v>198</v>
      </c>
      <c r="AA278" t="s">
        <v>36</v>
      </c>
      <c r="AB278" t="s">
        <v>119</v>
      </c>
      <c r="AC278">
        <v>4</v>
      </c>
      <c r="AD278" t="s">
        <v>105</v>
      </c>
      <c r="AE278" t="s">
        <v>20</v>
      </c>
      <c r="AF278" t="str">
        <f t="shared" si="9"/>
        <v>Yes</v>
      </c>
    </row>
    <row r="279" spans="1:32" x14ac:dyDescent="0.3">
      <c r="A279" t="s">
        <v>735</v>
      </c>
      <c r="B279" s="1">
        <v>45690</v>
      </c>
      <c r="C279" t="s">
        <v>259</v>
      </c>
      <c r="D279">
        <f t="shared" si="8"/>
        <v>18</v>
      </c>
      <c r="E279" t="s">
        <v>145</v>
      </c>
      <c r="F279" t="s">
        <v>3</v>
      </c>
      <c r="G279" t="s">
        <v>4</v>
      </c>
      <c r="H279" t="s">
        <v>159</v>
      </c>
      <c r="I279" t="s">
        <v>160</v>
      </c>
      <c r="J279" t="s">
        <v>161</v>
      </c>
      <c r="K279" t="s">
        <v>138</v>
      </c>
      <c r="L279" t="s">
        <v>736</v>
      </c>
      <c r="M279" t="s">
        <v>261</v>
      </c>
      <c r="N279" t="s">
        <v>30</v>
      </c>
      <c r="O279">
        <v>28</v>
      </c>
      <c r="P279" t="s">
        <v>54</v>
      </c>
      <c r="Q279" t="s">
        <v>92</v>
      </c>
      <c r="R279" t="s">
        <v>93</v>
      </c>
      <c r="S279" t="s">
        <v>94</v>
      </c>
      <c r="T279" t="s">
        <v>16</v>
      </c>
      <c r="U279">
        <v>3</v>
      </c>
      <c r="V279">
        <v>85</v>
      </c>
      <c r="W279">
        <v>255</v>
      </c>
      <c r="X279">
        <v>0</v>
      </c>
      <c r="Y279">
        <v>765</v>
      </c>
      <c r="Z279">
        <v>510</v>
      </c>
      <c r="AA279" t="s">
        <v>36</v>
      </c>
      <c r="AB279" t="s">
        <v>129</v>
      </c>
      <c r="AC279">
        <v>4</v>
      </c>
      <c r="AD279" t="s">
        <v>19</v>
      </c>
      <c r="AE279" t="s">
        <v>20</v>
      </c>
      <c r="AF279" t="str">
        <f t="shared" si="9"/>
        <v>Yes</v>
      </c>
    </row>
    <row r="280" spans="1:32" x14ac:dyDescent="0.3">
      <c r="A280" t="s">
        <v>737</v>
      </c>
      <c r="B280" s="1">
        <v>45770</v>
      </c>
      <c r="C280" t="s">
        <v>568</v>
      </c>
      <c r="D280">
        <f t="shared" si="8"/>
        <v>11</v>
      </c>
      <c r="E280" t="s">
        <v>60</v>
      </c>
      <c r="F280" t="s">
        <v>48</v>
      </c>
      <c r="G280" t="s">
        <v>73</v>
      </c>
      <c r="H280" t="s">
        <v>61</v>
      </c>
      <c r="I280" t="s">
        <v>62</v>
      </c>
      <c r="J280" t="s">
        <v>7</v>
      </c>
      <c r="K280" t="s">
        <v>51</v>
      </c>
      <c r="L280" t="s">
        <v>738</v>
      </c>
      <c r="M280" t="s">
        <v>169</v>
      </c>
      <c r="N280" t="s">
        <v>11</v>
      </c>
      <c r="O280">
        <v>34</v>
      </c>
      <c r="P280" t="s">
        <v>31</v>
      </c>
      <c r="Q280" t="s">
        <v>92</v>
      </c>
      <c r="R280" t="s">
        <v>93</v>
      </c>
      <c r="S280" t="s">
        <v>94</v>
      </c>
      <c r="T280" t="s">
        <v>16</v>
      </c>
      <c r="U280">
        <v>2</v>
      </c>
      <c r="V280">
        <v>85</v>
      </c>
      <c r="W280">
        <v>255</v>
      </c>
      <c r="X280">
        <v>15</v>
      </c>
      <c r="Y280">
        <v>433.5</v>
      </c>
      <c r="Z280">
        <v>263.5</v>
      </c>
      <c r="AA280" t="s">
        <v>36</v>
      </c>
      <c r="AB280" t="s">
        <v>44</v>
      </c>
      <c r="AC280">
        <v>5</v>
      </c>
      <c r="AD280" t="s">
        <v>19</v>
      </c>
      <c r="AE280" t="s">
        <v>95</v>
      </c>
      <c r="AF280" t="str">
        <f t="shared" si="9"/>
        <v>No</v>
      </c>
    </row>
    <row r="281" spans="1:32" x14ac:dyDescent="0.3">
      <c r="A281" t="s">
        <v>739</v>
      </c>
      <c r="B281" s="1">
        <v>45796</v>
      </c>
      <c r="C281" t="s">
        <v>265</v>
      </c>
      <c r="D281">
        <f t="shared" si="8"/>
        <v>7</v>
      </c>
      <c r="E281" t="s">
        <v>47</v>
      </c>
      <c r="F281" t="s">
        <v>48</v>
      </c>
      <c r="G281" t="s">
        <v>23</v>
      </c>
      <c r="H281" t="s">
        <v>81</v>
      </c>
      <c r="I281" t="s">
        <v>82</v>
      </c>
      <c r="J281" t="s">
        <v>7</v>
      </c>
      <c r="K281" t="s">
        <v>41</v>
      </c>
      <c r="L281" t="s">
        <v>277</v>
      </c>
      <c r="M281" t="s">
        <v>10</v>
      </c>
      <c r="N281" t="s">
        <v>30</v>
      </c>
      <c r="O281">
        <v>16</v>
      </c>
      <c r="P281" t="s">
        <v>54</v>
      </c>
      <c r="Q281" t="s">
        <v>280</v>
      </c>
      <c r="R281" t="s">
        <v>281</v>
      </c>
      <c r="S281" t="s">
        <v>218</v>
      </c>
      <c r="T281" t="s">
        <v>16</v>
      </c>
      <c r="U281">
        <v>3</v>
      </c>
      <c r="V281">
        <v>34</v>
      </c>
      <c r="W281">
        <v>74.8</v>
      </c>
      <c r="X281">
        <v>10</v>
      </c>
      <c r="Y281">
        <v>201.96</v>
      </c>
      <c r="Z281">
        <v>99.96</v>
      </c>
      <c r="AA281" t="s">
        <v>36</v>
      </c>
      <c r="AB281" t="s">
        <v>37</v>
      </c>
      <c r="AD281" t="s">
        <v>105</v>
      </c>
      <c r="AE281" t="s">
        <v>20</v>
      </c>
      <c r="AF281" t="str">
        <f t="shared" si="9"/>
        <v>Yes</v>
      </c>
    </row>
    <row r="282" spans="1:32" x14ac:dyDescent="0.3">
      <c r="A282" t="s">
        <v>740</v>
      </c>
      <c r="B282" s="1">
        <v>45758</v>
      </c>
      <c r="C282" t="s">
        <v>46</v>
      </c>
      <c r="D282">
        <f t="shared" si="8"/>
        <v>19</v>
      </c>
      <c r="E282" t="s">
        <v>60</v>
      </c>
      <c r="F282" t="s">
        <v>48</v>
      </c>
      <c r="G282" t="s">
        <v>40</v>
      </c>
      <c r="H282" t="s">
        <v>164</v>
      </c>
      <c r="I282" t="s">
        <v>165</v>
      </c>
      <c r="J282" t="s">
        <v>166</v>
      </c>
      <c r="K282" t="s">
        <v>63</v>
      </c>
      <c r="L282" t="s">
        <v>192</v>
      </c>
      <c r="M282" t="s">
        <v>29</v>
      </c>
      <c r="N282" t="s">
        <v>11</v>
      </c>
      <c r="O282">
        <v>47</v>
      </c>
      <c r="P282" t="s">
        <v>31</v>
      </c>
      <c r="Q282" t="s">
        <v>193</v>
      </c>
      <c r="R282" t="s">
        <v>194</v>
      </c>
      <c r="S282" t="s">
        <v>172</v>
      </c>
      <c r="T282" t="s">
        <v>35</v>
      </c>
      <c r="U282">
        <v>2</v>
      </c>
      <c r="V282">
        <v>35</v>
      </c>
      <c r="W282">
        <v>87.5</v>
      </c>
      <c r="X282">
        <v>0</v>
      </c>
      <c r="Y282">
        <v>175</v>
      </c>
      <c r="Z282">
        <v>105</v>
      </c>
      <c r="AA282" t="s">
        <v>43</v>
      </c>
      <c r="AB282" t="s">
        <v>129</v>
      </c>
      <c r="AC282">
        <v>4</v>
      </c>
      <c r="AD282" t="s">
        <v>19</v>
      </c>
      <c r="AE282" t="s">
        <v>95</v>
      </c>
      <c r="AF282" t="str">
        <f t="shared" si="9"/>
        <v>No</v>
      </c>
    </row>
    <row r="283" spans="1:32" x14ac:dyDescent="0.3">
      <c r="A283" t="s">
        <v>741</v>
      </c>
      <c r="B283" s="1">
        <v>45818</v>
      </c>
      <c r="C283" t="s">
        <v>80</v>
      </c>
      <c r="D283">
        <f t="shared" si="8"/>
        <v>10</v>
      </c>
      <c r="E283" t="s">
        <v>131</v>
      </c>
      <c r="F283" t="s">
        <v>48</v>
      </c>
      <c r="G283" t="s">
        <v>181</v>
      </c>
      <c r="H283" t="s">
        <v>81</v>
      </c>
      <c r="I283" t="s">
        <v>82</v>
      </c>
      <c r="J283" t="s">
        <v>7</v>
      </c>
      <c r="K283" t="s">
        <v>146</v>
      </c>
      <c r="L283" t="s">
        <v>742</v>
      </c>
      <c r="M283" t="s">
        <v>53</v>
      </c>
      <c r="N283" t="s">
        <v>11</v>
      </c>
      <c r="O283">
        <v>53</v>
      </c>
      <c r="P283" t="s">
        <v>12</v>
      </c>
      <c r="Q283" t="s">
        <v>155</v>
      </c>
      <c r="R283" t="s">
        <v>156</v>
      </c>
      <c r="S283" t="s">
        <v>34</v>
      </c>
      <c r="T283" t="s">
        <v>16</v>
      </c>
      <c r="U283">
        <v>2</v>
      </c>
      <c r="V283">
        <v>40</v>
      </c>
      <c r="W283">
        <v>100</v>
      </c>
      <c r="X283">
        <v>5</v>
      </c>
      <c r="Y283">
        <v>190</v>
      </c>
      <c r="Z283">
        <v>110</v>
      </c>
      <c r="AA283" t="s">
        <v>36</v>
      </c>
      <c r="AB283" t="s">
        <v>119</v>
      </c>
      <c r="AD283" t="s">
        <v>105</v>
      </c>
      <c r="AE283" t="s">
        <v>20</v>
      </c>
      <c r="AF283" t="str">
        <f t="shared" si="9"/>
        <v>Yes</v>
      </c>
    </row>
    <row r="284" spans="1:32" x14ac:dyDescent="0.3">
      <c r="A284" t="s">
        <v>743</v>
      </c>
      <c r="B284" s="1">
        <v>45674</v>
      </c>
      <c r="C284" t="s">
        <v>388</v>
      </c>
      <c r="D284">
        <f t="shared" si="8"/>
        <v>19</v>
      </c>
      <c r="E284" t="s">
        <v>2</v>
      </c>
      <c r="F284" t="s">
        <v>3</v>
      </c>
      <c r="G284" t="s">
        <v>40</v>
      </c>
      <c r="H284" t="s">
        <v>122</v>
      </c>
      <c r="I284" t="s">
        <v>123</v>
      </c>
      <c r="J284" t="s">
        <v>7</v>
      </c>
      <c r="K284" t="s">
        <v>306</v>
      </c>
      <c r="L284" t="s">
        <v>744</v>
      </c>
      <c r="M284" t="s">
        <v>53</v>
      </c>
      <c r="N284" t="s">
        <v>30</v>
      </c>
      <c r="O284">
        <v>23</v>
      </c>
      <c r="P284" t="s">
        <v>91</v>
      </c>
      <c r="Q284" t="s">
        <v>358</v>
      </c>
      <c r="R284" t="s">
        <v>359</v>
      </c>
      <c r="S284" t="s">
        <v>15</v>
      </c>
      <c r="T284" t="s">
        <v>35</v>
      </c>
      <c r="U284">
        <v>3</v>
      </c>
      <c r="V284">
        <v>55</v>
      </c>
      <c r="W284">
        <v>137.5</v>
      </c>
      <c r="X284">
        <v>0</v>
      </c>
      <c r="Y284">
        <v>412.5</v>
      </c>
      <c r="Z284">
        <v>247.5</v>
      </c>
      <c r="AA284" t="s">
        <v>36</v>
      </c>
      <c r="AB284" t="s">
        <v>18</v>
      </c>
      <c r="AD284" t="s">
        <v>19</v>
      </c>
      <c r="AE284" t="s">
        <v>20</v>
      </c>
      <c r="AF284" t="str">
        <f t="shared" si="9"/>
        <v>Yes</v>
      </c>
    </row>
    <row r="285" spans="1:32" x14ac:dyDescent="0.3">
      <c r="A285" t="s">
        <v>745</v>
      </c>
      <c r="B285" s="1">
        <v>45734</v>
      </c>
      <c r="C285" t="s">
        <v>121</v>
      </c>
      <c r="D285">
        <f t="shared" si="8"/>
        <v>9</v>
      </c>
      <c r="E285" t="s">
        <v>72</v>
      </c>
      <c r="F285" t="s">
        <v>3</v>
      </c>
      <c r="G285" t="s">
        <v>181</v>
      </c>
      <c r="H285" t="s">
        <v>24</v>
      </c>
      <c r="I285" t="s">
        <v>25</v>
      </c>
      <c r="J285" t="s">
        <v>26</v>
      </c>
      <c r="K285" t="s">
        <v>153</v>
      </c>
      <c r="L285" t="s">
        <v>746</v>
      </c>
      <c r="M285" t="s">
        <v>261</v>
      </c>
      <c r="N285" t="s">
        <v>30</v>
      </c>
      <c r="O285">
        <v>58</v>
      </c>
      <c r="P285" t="s">
        <v>91</v>
      </c>
      <c r="Q285" t="s">
        <v>185</v>
      </c>
      <c r="R285" t="s">
        <v>186</v>
      </c>
      <c r="S285" t="s">
        <v>187</v>
      </c>
      <c r="T285" t="s">
        <v>35</v>
      </c>
      <c r="U285">
        <v>1</v>
      </c>
      <c r="V285">
        <v>57</v>
      </c>
      <c r="W285">
        <v>159.6</v>
      </c>
      <c r="X285">
        <v>15</v>
      </c>
      <c r="Y285">
        <v>135.66</v>
      </c>
      <c r="Z285">
        <v>78.66</v>
      </c>
      <c r="AA285" t="s">
        <v>179</v>
      </c>
      <c r="AB285" t="s">
        <v>37</v>
      </c>
      <c r="AC285">
        <v>5</v>
      </c>
      <c r="AD285" t="s">
        <v>19</v>
      </c>
      <c r="AE285" t="s">
        <v>20</v>
      </c>
      <c r="AF285" t="str">
        <f t="shared" si="9"/>
        <v>Yes</v>
      </c>
    </row>
    <row r="286" spans="1:32" x14ac:dyDescent="0.3">
      <c r="A286" t="s">
        <v>747</v>
      </c>
      <c r="B286" s="1">
        <v>45771</v>
      </c>
      <c r="C286" t="s">
        <v>345</v>
      </c>
      <c r="D286">
        <f t="shared" si="8"/>
        <v>18</v>
      </c>
      <c r="E286" t="s">
        <v>60</v>
      </c>
      <c r="F286" t="s">
        <v>48</v>
      </c>
      <c r="G286" t="s">
        <v>98</v>
      </c>
      <c r="H286" t="s">
        <v>24</v>
      </c>
      <c r="I286" t="s">
        <v>25</v>
      </c>
      <c r="J286" t="s">
        <v>26</v>
      </c>
      <c r="K286" t="s">
        <v>8</v>
      </c>
      <c r="L286" t="s">
        <v>748</v>
      </c>
      <c r="M286" t="s">
        <v>162</v>
      </c>
      <c r="N286" t="s">
        <v>30</v>
      </c>
      <c r="O286">
        <v>56</v>
      </c>
      <c r="P286" t="s">
        <v>12</v>
      </c>
      <c r="Q286" t="s">
        <v>605</v>
      </c>
      <c r="R286" t="s">
        <v>606</v>
      </c>
      <c r="S286" t="s">
        <v>237</v>
      </c>
      <c r="T286" t="s">
        <v>35</v>
      </c>
      <c r="U286">
        <v>3</v>
      </c>
      <c r="V286">
        <v>79</v>
      </c>
      <c r="W286">
        <v>173.8</v>
      </c>
      <c r="X286">
        <v>15</v>
      </c>
      <c r="Y286">
        <v>443.19</v>
      </c>
      <c r="Z286">
        <v>206.19</v>
      </c>
      <c r="AA286" t="s">
        <v>36</v>
      </c>
      <c r="AB286" t="s">
        <v>18</v>
      </c>
      <c r="AC286">
        <v>5</v>
      </c>
      <c r="AD286" t="s">
        <v>19</v>
      </c>
      <c r="AE286" t="s">
        <v>95</v>
      </c>
      <c r="AF286" t="str">
        <f t="shared" si="9"/>
        <v>No</v>
      </c>
    </row>
    <row r="287" spans="1:32" x14ac:dyDescent="0.3">
      <c r="A287" t="s">
        <v>749</v>
      </c>
      <c r="B287" s="1">
        <v>45722</v>
      </c>
      <c r="C287" t="s">
        <v>543</v>
      </c>
      <c r="D287">
        <f t="shared" si="8"/>
        <v>15</v>
      </c>
      <c r="E287" t="s">
        <v>72</v>
      </c>
      <c r="F287" t="s">
        <v>3</v>
      </c>
      <c r="G287" t="s">
        <v>98</v>
      </c>
      <c r="H287" t="s">
        <v>49</v>
      </c>
      <c r="I287" t="s">
        <v>50</v>
      </c>
      <c r="J287" t="s">
        <v>7</v>
      </c>
      <c r="K287" t="s">
        <v>306</v>
      </c>
      <c r="L287" t="s">
        <v>210</v>
      </c>
      <c r="M287" t="s">
        <v>184</v>
      </c>
      <c r="N287" t="s">
        <v>30</v>
      </c>
      <c r="O287">
        <v>59</v>
      </c>
      <c r="P287" t="s">
        <v>12</v>
      </c>
      <c r="Q287" t="s">
        <v>295</v>
      </c>
      <c r="R287" t="s">
        <v>296</v>
      </c>
      <c r="S287" t="s">
        <v>57</v>
      </c>
      <c r="T287" t="s">
        <v>35</v>
      </c>
      <c r="U287">
        <v>4</v>
      </c>
      <c r="V287">
        <v>62</v>
      </c>
      <c r="W287">
        <v>186</v>
      </c>
      <c r="X287">
        <v>10</v>
      </c>
      <c r="Y287">
        <v>669.6</v>
      </c>
      <c r="Z287">
        <v>421.6</v>
      </c>
      <c r="AA287" t="s">
        <v>17</v>
      </c>
      <c r="AB287" t="s">
        <v>129</v>
      </c>
      <c r="AC287">
        <v>4</v>
      </c>
      <c r="AD287" t="s">
        <v>105</v>
      </c>
      <c r="AE287" t="s">
        <v>20</v>
      </c>
      <c r="AF287" t="str">
        <f t="shared" si="9"/>
        <v>Yes</v>
      </c>
    </row>
    <row r="288" spans="1:32" x14ac:dyDescent="0.3">
      <c r="A288" t="s">
        <v>750</v>
      </c>
      <c r="B288" s="1">
        <v>45730</v>
      </c>
      <c r="C288" t="s">
        <v>474</v>
      </c>
      <c r="D288">
        <f t="shared" si="8"/>
        <v>12</v>
      </c>
      <c r="E288" t="s">
        <v>72</v>
      </c>
      <c r="F288" t="s">
        <v>3</v>
      </c>
      <c r="G288" t="s">
        <v>40</v>
      </c>
      <c r="H288" t="s">
        <v>122</v>
      </c>
      <c r="I288" t="s">
        <v>123</v>
      </c>
      <c r="J288" t="s">
        <v>7</v>
      </c>
      <c r="K288" t="s">
        <v>167</v>
      </c>
      <c r="L288" t="s">
        <v>729</v>
      </c>
      <c r="M288" t="s">
        <v>184</v>
      </c>
      <c r="N288" t="s">
        <v>30</v>
      </c>
      <c r="O288">
        <v>64</v>
      </c>
      <c r="P288" t="s">
        <v>54</v>
      </c>
      <c r="Q288" t="s">
        <v>256</v>
      </c>
      <c r="R288" t="s">
        <v>257</v>
      </c>
      <c r="S288" t="s">
        <v>118</v>
      </c>
      <c r="T288" t="s">
        <v>35</v>
      </c>
      <c r="U288">
        <v>1</v>
      </c>
      <c r="V288">
        <v>30</v>
      </c>
      <c r="W288">
        <v>90</v>
      </c>
      <c r="X288">
        <v>0</v>
      </c>
      <c r="Y288">
        <v>90</v>
      </c>
      <c r="Z288">
        <v>60</v>
      </c>
      <c r="AA288" t="s">
        <v>179</v>
      </c>
      <c r="AB288" t="s">
        <v>129</v>
      </c>
      <c r="AC288">
        <v>5</v>
      </c>
      <c r="AD288" t="s">
        <v>19</v>
      </c>
      <c r="AE288" t="s">
        <v>20</v>
      </c>
      <c r="AF288" t="str">
        <f t="shared" si="9"/>
        <v>Yes</v>
      </c>
    </row>
    <row r="289" spans="1:32" x14ac:dyDescent="0.3">
      <c r="A289" t="s">
        <v>751</v>
      </c>
      <c r="B289" s="1">
        <v>45812</v>
      </c>
      <c r="C289" t="s">
        <v>244</v>
      </c>
      <c r="D289">
        <f t="shared" si="8"/>
        <v>20</v>
      </c>
      <c r="E289" t="s">
        <v>131</v>
      </c>
      <c r="F289" t="s">
        <v>48</v>
      </c>
      <c r="G289" t="s">
        <v>73</v>
      </c>
      <c r="H289" t="s">
        <v>164</v>
      </c>
      <c r="I289" t="s">
        <v>165</v>
      </c>
      <c r="J289" t="s">
        <v>166</v>
      </c>
      <c r="K289" t="s">
        <v>63</v>
      </c>
      <c r="L289" t="s">
        <v>752</v>
      </c>
      <c r="M289" t="s">
        <v>225</v>
      </c>
      <c r="N289" t="s">
        <v>30</v>
      </c>
      <c r="O289">
        <v>18</v>
      </c>
      <c r="P289" t="s">
        <v>12</v>
      </c>
      <c r="Q289" t="s">
        <v>710</v>
      </c>
      <c r="R289" t="s">
        <v>711</v>
      </c>
      <c r="S289" t="s">
        <v>94</v>
      </c>
      <c r="T289" t="s">
        <v>16</v>
      </c>
      <c r="U289">
        <v>4</v>
      </c>
      <c r="V289">
        <v>83</v>
      </c>
      <c r="W289">
        <v>182.6</v>
      </c>
      <c r="X289">
        <v>0</v>
      </c>
      <c r="Y289">
        <v>730.4</v>
      </c>
      <c r="Z289">
        <v>398.4</v>
      </c>
      <c r="AA289" t="s">
        <v>43</v>
      </c>
      <c r="AB289" t="s">
        <v>119</v>
      </c>
      <c r="AC289">
        <v>4</v>
      </c>
      <c r="AD289" t="s">
        <v>105</v>
      </c>
      <c r="AE289" t="s">
        <v>20</v>
      </c>
      <c r="AF289" t="str">
        <f t="shared" si="9"/>
        <v>Yes</v>
      </c>
    </row>
    <row r="290" spans="1:32" x14ac:dyDescent="0.3">
      <c r="A290" t="s">
        <v>753</v>
      </c>
      <c r="B290" s="1">
        <v>45791</v>
      </c>
      <c r="C290" t="s">
        <v>351</v>
      </c>
      <c r="D290">
        <f t="shared" si="8"/>
        <v>9</v>
      </c>
      <c r="E290" t="s">
        <v>47</v>
      </c>
      <c r="F290" t="s">
        <v>48</v>
      </c>
      <c r="G290" t="s">
        <v>73</v>
      </c>
      <c r="H290" t="s">
        <v>164</v>
      </c>
      <c r="I290" t="s">
        <v>165</v>
      </c>
      <c r="J290" t="s">
        <v>166</v>
      </c>
      <c r="K290" t="s">
        <v>311</v>
      </c>
      <c r="L290" t="s">
        <v>754</v>
      </c>
      <c r="M290" t="s">
        <v>169</v>
      </c>
      <c r="N290" t="s">
        <v>11</v>
      </c>
      <c r="O290">
        <v>35</v>
      </c>
      <c r="P290" t="s">
        <v>76</v>
      </c>
      <c r="Q290" t="s">
        <v>256</v>
      </c>
      <c r="R290" t="s">
        <v>257</v>
      </c>
      <c r="S290" t="s">
        <v>118</v>
      </c>
      <c r="T290" t="s">
        <v>35</v>
      </c>
      <c r="U290">
        <v>4</v>
      </c>
      <c r="V290">
        <v>30</v>
      </c>
      <c r="W290">
        <v>90</v>
      </c>
      <c r="X290">
        <v>15</v>
      </c>
      <c r="Y290">
        <v>306</v>
      </c>
      <c r="Z290">
        <v>186</v>
      </c>
      <c r="AA290" t="s">
        <v>179</v>
      </c>
      <c r="AB290" t="s">
        <v>18</v>
      </c>
      <c r="AD290" t="s">
        <v>19</v>
      </c>
      <c r="AE290" t="s">
        <v>95</v>
      </c>
      <c r="AF290" t="str">
        <f t="shared" si="9"/>
        <v>No</v>
      </c>
    </row>
    <row r="291" spans="1:32" x14ac:dyDescent="0.3">
      <c r="A291" t="s">
        <v>755</v>
      </c>
      <c r="B291" s="1">
        <v>45772</v>
      </c>
      <c r="C291" t="s">
        <v>1</v>
      </c>
      <c r="D291">
        <f t="shared" si="8"/>
        <v>19</v>
      </c>
      <c r="E291" t="s">
        <v>60</v>
      </c>
      <c r="F291" t="s">
        <v>48</v>
      </c>
      <c r="G291" t="s">
        <v>40</v>
      </c>
      <c r="H291" t="s">
        <v>5</v>
      </c>
      <c r="I291" t="s">
        <v>6</v>
      </c>
      <c r="J291" t="s">
        <v>7</v>
      </c>
      <c r="K291" t="s">
        <v>51</v>
      </c>
      <c r="L291" t="s">
        <v>448</v>
      </c>
      <c r="M291" t="s">
        <v>140</v>
      </c>
      <c r="N291" t="s">
        <v>30</v>
      </c>
      <c r="O291">
        <v>42</v>
      </c>
      <c r="P291" t="s">
        <v>76</v>
      </c>
      <c r="Q291" t="s">
        <v>506</v>
      </c>
      <c r="R291" t="s">
        <v>507</v>
      </c>
      <c r="S291" t="s">
        <v>118</v>
      </c>
      <c r="T291" t="s">
        <v>16</v>
      </c>
      <c r="U291">
        <v>3</v>
      </c>
      <c r="V291">
        <v>39</v>
      </c>
      <c r="W291">
        <v>109.2</v>
      </c>
      <c r="X291">
        <v>0</v>
      </c>
      <c r="Y291">
        <v>327.60000000000002</v>
      </c>
      <c r="Z291">
        <v>210.6</v>
      </c>
      <c r="AA291" t="s">
        <v>36</v>
      </c>
      <c r="AB291" t="s">
        <v>18</v>
      </c>
      <c r="AD291" t="s">
        <v>19</v>
      </c>
      <c r="AE291" t="s">
        <v>95</v>
      </c>
      <c r="AF291" t="str">
        <f t="shared" si="9"/>
        <v>No</v>
      </c>
    </row>
    <row r="292" spans="1:32" x14ac:dyDescent="0.3">
      <c r="A292" t="s">
        <v>756</v>
      </c>
      <c r="B292" s="1">
        <v>45709</v>
      </c>
      <c r="C292" t="s">
        <v>554</v>
      </c>
      <c r="D292">
        <f t="shared" si="8"/>
        <v>11</v>
      </c>
      <c r="E292" t="s">
        <v>145</v>
      </c>
      <c r="F292" t="s">
        <v>3</v>
      </c>
      <c r="G292" t="s">
        <v>40</v>
      </c>
      <c r="H292" t="s">
        <v>49</v>
      </c>
      <c r="I292" t="s">
        <v>50</v>
      </c>
      <c r="J292" t="s">
        <v>7</v>
      </c>
      <c r="K292" t="s">
        <v>182</v>
      </c>
      <c r="L292" t="s">
        <v>724</v>
      </c>
      <c r="M292" t="s">
        <v>65</v>
      </c>
      <c r="N292" t="s">
        <v>30</v>
      </c>
      <c r="O292">
        <v>40</v>
      </c>
      <c r="P292" t="s">
        <v>54</v>
      </c>
      <c r="Q292" t="s">
        <v>204</v>
      </c>
      <c r="R292" t="s">
        <v>205</v>
      </c>
      <c r="S292" t="s">
        <v>118</v>
      </c>
      <c r="T292" t="s">
        <v>35</v>
      </c>
      <c r="U292">
        <v>3</v>
      </c>
      <c r="V292">
        <v>59</v>
      </c>
      <c r="W292">
        <v>177</v>
      </c>
      <c r="X292">
        <v>15</v>
      </c>
      <c r="Y292">
        <v>451.35</v>
      </c>
      <c r="Z292">
        <v>274.35000000000002</v>
      </c>
      <c r="AA292" t="s">
        <v>43</v>
      </c>
      <c r="AB292" t="s">
        <v>119</v>
      </c>
      <c r="AD292" t="s">
        <v>105</v>
      </c>
      <c r="AE292" t="s">
        <v>20</v>
      </c>
      <c r="AF292" t="str">
        <f t="shared" si="9"/>
        <v>Yes</v>
      </c>
    </row>
    <row r="293" spans="1:32" x14ac:dyDescent="0.3">
      <c r="A293" t="s">
        <v>757</v>
      </c>
      <c r="B293" s="1">
        <v>45743</v>
      </c>
      <c r="C293" t="s">
        <v>758</v>
      </c>
      <c r="D293">
        <f t="shared" si="8"/>
        <v>12</v>
      </c>
      <c r="E293" t="s">
        <v>72</v>
      </c>
      <c r="F293" t="s">
        <v>3</v>
      </c>
      <c r="G293" t="s">
        <v>98</v>
      </c>
      <c r="H293" t="s">
        <v>24</v>
      </c>
      <c r="I293" t="s">
        <v>25</v>
      </c>
      <c r="J293" t="s">
        <v>26</v>
      </c>
      <c r="K293" t="s">
        <v>74</v>
      </c>
      <c r="L293" t="s">
        <v>693</v>
      </c>
      <c r="M293" t="s">
        <v>225</v>
      </c>
      <c r="N293" t="s">
        <v>30</v>
      </c>
      <c r="O293">
        <v>46</v>
      </c>
      <c r="P293" t="s">
        <v>54</v>
      </c>
      <c r="Q293" t="s">
        <v>170</v>
      </c>
      <c r="R293" t="s">
        <v>171</v>
      </c>
      <c r="S293" t="s">
        <v>172</v>
      </c>
      <c r="T293" t="s">
        <v>35</v>
      </c>
      <c r="U293">
        <v>2</v>
      </c>
      <c r="V293">
        <v>72</v>
      </c>
      <c r="W293">
        <v>216</v>
      </c>
      <c r="X293">
        <v>10</v>
      </c>
      <c r="Y293">
        <v>388.8</v>
      </c>
      <c r="Z293">
        <v>244.8</v>
      </c>
      <c r="AA293" t="s">
        <v>43</v>
      </c>
      <c r="AB293" t="s">
        <v>129</v>
      </c>
      <c r="AC293">
        <v>4</v>
      </c>
      <c r="AD293" t="s">
        <v>19</v>
      </c>
      <c r="AE293" t="s">
        <v>95</v>
      </c>
      <c r="AF293" t="str">
        <f t="shared" si="9"/>
        <v>No</v>
      </c>
    </row>
    <row r="294" spans="1:32" x14ac:dyDescent="0.3">
      <c r="A294" t="s">
        <v>759</v>
      </c>
      <c r="B294" s="1">
        <v>45749</v>
      </c>
      <c r="C294" t="s">
        <v>121</v>
      </c>
      <c r="D294">
        <f t="shared" si="8"/>
        <v>9</v>
      </c>
      <c r="E294" t="s">
        <v>60</v>
      </c>
      <c r="F294" t="s">
        <v>48</v>
      </c>
      <c r="G294" t="s">
        <v>73</v>
      </c>
      <c r="H294" t="s">
        <v>5</v>
      </c>
      <c r="I294" t="s">
        <v>6</v>
      </c>
      <c r="J294" t="s">
        <v>7</v>
      </c>
      <c r="K294" t="s">
        <v>27</v>
      </c>
      <c r="L294" t="s">
        <v>760</v>
      </c>
      <c r="M294" t="s">
        <v>162</v>
      </c>
      <c r="N294" t="s">
        <v>30</v>
      </c>
      <c r="O294">
        <v>25</v>
      </c>
      <c r="P294" t="s">
        <v>91</v>
      </c>
      <c r="Q294" t="s">
        <v>409</v>
      </c>
      <c r="R294" t="s">
        <v>410</v>
      </c>
      <c r="S294" t="s">
        <v>237</v>
      </c>
      <c r="T294" t="s">
        <v>16</v>
      </c>
      <c r="U294">
        <v>4</v>
      </c>
      <c r="V294">
        <v>26</v>
      </c>
      <c r="W294">
        <v>78</v>
      </c>
      <c r="X294">
        <v>0</v>
      </c>
      <c r="Y294">
        <v>312</v>
      </c>
      <c r="Z294">
        <v>208</v>
      </c>
      <c r="AA294" t="s">
        <v>69</v>
      </c>
      <c r="AB294" t="s">
        <v>119</v>
      </c>
      <c r="AD294" t="s">
        <v>105</v>
      </c>
      <c r="AE294" t="s">
        <v>20</v>
      </c>
      <c r="AF294" t="str">
        <f t="shared" si="9"/>
        <v>Yes</v>
      </c>
    </row>
    <row r="295" spans="1:32" x14ac:dyDescent="0.3">
      <c r="A295" t="s">
        <v>761</v>
      </c>
      <c r="B295" s="1">
        <v>45770</v>
      </c>
      <c r="C295" t="s">
        <v>399</v>
      </c>
      <c r="D295">
        <f t="shared" si="8"/>
        <v>20</v>
      </c>
      <c r="E295" t="s">
        <v>60</v>
      </c>
      <c r="F295" t="s">
        <v>48</v>
      </c>
      <c r="G295" t="s">
        <v>73</v>
      </c>
      <c r="H295" t="s">
        <v>61</v>
      </c>
      <c r="I295" t="s">
        <v>62</v>
      </c>
      <c r="J295" t="s">
        <v>7</v>
      </c>
      <c r="K295" t="s">
        <v>245</v>
      </c>
      <c r="L295" t="s">
        <v>688</v>
      </c>
      <c r="M295" t="s">
        <v>65</v>
      </c>
      <c r="N295" t="s">
        <v>30</v>
      </c>
      <c r="O295">
        <v>61</v>
      </c>
      <c r="P295" t="s">
        <v>76</v>
      </c>
      <c r="Q295" t="s">
        <v>409</v>
      </c>
      <c r="R295" t="s">
        <v>410</v>
      </c>
      <c r="S295" t="s">
        <v>237</v>
      </c>
      <c r="T295" t="s">
        <v>16</v>
      </c>
      <c r="U295">
        <v>4</v>
      </c>
      <c r="V295">
        <v>26</v>
      </c>
      <c r="W295">
        <v>78</v>
      </c>
      <c r="X295">
        <v>0</v>
      </c>
      <c r="Y295">
        <v>312</v>
      </c>
      <c r="Z295">
        <v>208</v>
      </c>
      <c r="AA295" t="s">
        <v>36</v>
      </c>
      <c r="AB295" t="s">
        <v>37</v>
      </c>
      <c r="AC295">
        <v>4</v>
      </c>
      <c r="AD295" t="s">
        <v>19</v>
      </c>
      <c r="AE295" t="s">
        <v>20</v>
      </c>
      <c r="AF295" t="str">
        <f t="shared" si="9"/>
        <v>Yes</v>
      </c>
    </row>
    <row r="296" spans="1:32" x14ac:dyDescent="0.3">
      <c r="A296" t="s">
        <v>762</v>
      </c>
      <c r="B296" s="1">
        <v>45804</v>
      </c>
      <c r="C296" t="s">
        <v>537</v>
      </c>
      <c r="D296">
        <f t="shared" si="8"/>
        <v>8</v>
      </c>
      <c r="E296" t="s">
        <v>47</v>
      </c>
      <c r="F296" t="s">
        <v>48</v>
      </c>
      <c r="G296" t="s">
        <v>181</v>
      </c>
      <c r="H296" t="s">
        <v>159</v>
      </c>
      <c r="I296" t="s">
        <v>160</v>
      </c>
      <c r="J296" t="s">
        <v>161</v>
      </c>
      <c r="K296" t="s">
        <v>196</v>
      </c>
      <c r="L296" t="s">
        <v>587</v>
      </c>
      <c r="M296" t="s">
        <v>140</v>
      </c>
      <c r="N296" t="s">
        <v>11</v>
      </c>
      <c r="O296">
        <v>35</v>
      </c>
      <c r="P296" t="s">
        <v>12</v>
      </c>
      <c r="Q296" t="s">
        <v>262</v>
      </c>
      <c r="R296" t="s">
        <v>263</v>
      </c>
      <c r="S296" t="s">
        <v>218</v>
      </c>
      <c r="T296" t="s">
        <v>35</v>
      </c>
      <c r="U296">
        <v>4</v>
      </c>
      <c r="V296">
        <v>40</v>
      </c>
      <c r="W296">
        <v>112</v>
      </c>
      <c r="X296">
        <v>5</v>
      </c>
      <c r="Y296">
        <v>425.6</v>
      </c>
      <c r="Z296">
        <v>265.60000000000002</v>
      </c>
      <c r="AA296" t="s">
        <v>17</v>
      </c>
      <c r="AB296" t="s">
        <v>129</v>
      </c>
      <c r="AC296">
        <v>4</v>
      </c>
      <c r="AD296" t="s">
        <v>19</v>
      </c>
      <c r="AE296" t="s">
        <v>20</v>
      </c>
      <c r="AF296" t="str">
        <f t="shared" si="9"/>
        <v>Yes</v>
      </c>
    </row>
    <row r="297" spans="1:32" x14ac:dyDescent="0.3">
      <c r="A297" t="s">
        <v>763</v>
      </c>
      <c r="B297" s="1">
        <v>45668</v>
      </c>
      <c r="C297" t="s">
        <v>340</v>
      </c>
      <c r="D297">
        <f t="shared" si="8"/>
        <v>17</v>
      </c>
      <c r="E297" t="s">
        <v>2</v>
      </c>
      <c r="F297" t="s">
        <v>3</v>
      </c>
      <c r="G297" t="s">
        <v>132</v>
      </c>
      <c r="H297" t="s">
        <v>24</v>
      </c>
      <c r="I297" t="s">
        <v>25</v>
      </c>
      <c r="J297" t="s">
        <v>26</v>
      </c>
      <c r="K297" t="s">
        <v>146</v>
      </c>
      <c r="L297" t="s">
        <v>369</v>
      </c>
      <c r="M297" t="s">
        <v>169</v>
      </c>
      <c r="N297" t="s">
        <v>11</v>
      </c>
      <c r="O297">
        <v>64</v>
      </c>
      <c r="P297" t="s">
        <v>91</v>
      </c>
      <c r="Q297" t="s">
        <v>235</v>
      </c>
      <c r="R297" t="s">
        <v>236</v>
      </c>
      <c r="S297" t="s">
        <v>237</v>
      </c>
      <c r="T297" t="s">
        <v>35</v>
      </c>
      <c r="U297">
        <v>4</v>
      </c>
      <c r="V297">
        <v>22</v>
      </c>
      <c r="W297">
        <v>61.6</v>
      </c>
      <c r="X297">
        <v>15</v>
      </c>
      <c r="Y297">
        <v>209.44</v>
      </c>
      <c r="Z297">
        <v>121.44</v>
      </c>
      <c r="AA297" t="s">
        <v>17</v>
      </c>
      <c r="AB297" t="s">
        <v>18</v>
      </c>
      <c r="AD297" t="s">
        <v>19</v>
      </c>
      <c r="AE297" t="s">
        <v>20</v>
      </c>
      <c r="AF297" t="str">
        <f t="shared" si="9"/>
        <v>Yes</v>
      </c>
    </row>
    <row r="298" spans="1:32" x14ac:dyDescent="0.3">
      <c r="A298" t="s">
        <v>764</v>
      </c>
      <c r="B298" s="1">
        <v>45727</v>
      </c>
      <c r="C298" t="s">
        <v>199</v>
      </c>
      <c r="D298">
        <f t="shared" si="8"/>
        <v>10</v>
      </c>
      <c r="E298" t="s">
        <v>72</v>
      </c>
      <c r="F298" t="s">
        <v>3</v>
      </c>
      <c r="G298" t="s">
        <v>181</v>
      </c>
      <c r="H298" t="s">
        <v>61</v>
      </c>
      <c r="I298" t="s">
        <v>62</v>
      </c>
      <c r="J298" t="s">
        <v>7</v>
      </c>
      <c r="K298" t="s">
        <v>107</v>
      </c>
      <c r="L298" t="s">
        <v>765</v>
      </c>
      <c r="M298" t="s">
        <v>53</v>
      </c>
      <c r="N298" t="s">
        <v>30</v>
      </c>
      <c r="O298">
        <v>50</v>
      </c>
      <c r="P298" t="s">
        <v>12</v>
      </c>
      <c r="Q298" t="s">
        <v>235</v>
      </c>
      <c r="R298" t="s">
        <v>236</v>
      </c>
      <c r="S298" t="s">
        <v>237</v>
      </c>
      <c r="T298" t="s">
        <v>35</v>
      </c>
      <c r="U298">
        <v>4</v>
      </c>
      <c r="V298">
        <v>22</v>
      </c>
      <c r="W298">
        <v>61.6</v>
      </c>
      <c r="X298">
        <v>5</v>
      </c>
      <c r="Y298">
        <v>234.08</v>
      </c>
      <c r="Z298">
        <v>146.08000000000001</v>
      </c>
      <c r="AA298" t="s">
        <v>179</v>
      </c>
      <c r="AB298" t="s">
        <v>44</v>
      </c>
      <c r="AD298" t="s">
        <v>19</v>
      </c>
      <c r="AE298" t="s">
        <v>95</v>
      </c>
      <c r="AF298" t="str">
        <f t="shared" si="9"/>
        <v>No</v>
      </c>
    </row>
    <row r="299" spans="1:32" x14ac:dyDescent="0.3">
      <c r="A299" t="s">
        <v>766</v>
      </c>
      <c r="B299" s="1">
        <v>45785</v>
      </c>
      <c r="C299" t="s">
        <v>214</v>
      </c>
      <c r="D299">
        <f t="shared" si="8"/>
        <v>7</v>
      </c>
      <c r="E299" t="s">
        <v>47</v>
      </c>
      <c r="F299" t="s">
        <v>48</v>
      </c>
      <c r="G299" t="s">
        <v>98</v>
      </c>
      <c r="H299" t="s">
        <v>81</v>
      </c>
      <c r="I299" t="s">
        <v>82</v>
      </c>
      <c r="J299" t="s">
        <v>7</v>
      </c>
      <c r="K299" t="s">
        <v>124</v>
      </c>
      <c r="L299" t="s">
        <v>767</v>
      </c>
      <c r="M299" t="s">
        <v>169</v>
      </c>
      <c r="N299" t="s">
        <v>30</v>
      </c>
      <c r="O299">
        <v>36</v>
      </c>
      <c r="P299" t="s">
        <v>31</v>
      </c>
      <c r="Q299" t="s">
        <v>518</v>
      </c>
      <c r="R299" t="s">
        <v>519</v>
      </c>
      <c r="S299" t="s">
        <v>242</v>
      </c>
      <c r="T299" t="s">
        <v>35</v>
      </c>
      <c r="U299">
        <v>1</v>
      </c>
      <c r="V299">
        <v>88</v>
      </c>
      <c r="W299">
        <v>193.6</v>
      </c>
      <c r="X299">
        <v>15</v>
      </c>
      <c r="Y299">
        <v>164.56</v>
      </c>
      <c r="Z299">
        <v>76.56</v>
      </c>
      <c r="AA299" t="s">
        <v>179</v>
      </c>
      <c r="AB299" t="s">
        <v>44</v>
      </c>
      <c r="AC299">
        <v>4</v>
      </c>
      <c r="AD299" t="s">
        <v>19</v>
      </c>
      <c r="AE299" t="s">
        <v>95</v>
      </c>
      <c r="AF299" t="str">
        <f t="shared" si="9"/>
        <v>No</v>
      </c>
    </row>
    <row r="300" spans="1:32" x14ac:dyDescent="0.3">
      <c r="A300" t="s">
        <v>768</v>
      </c>
      <c r="B300" s="1">
        <v>45658</v>
      </c>
      <c r="C300" t="s">
        <v>373</v>
      </c>
      <c r="D300">
        <f t="shared" si="8"/>
        <v>9</v>
      </c>
      <c r="E300" t="s">
        <v>2</v>
      </c>
      <c r="F300" t="s">
        <v>3</v>
      </c>
      <c r="G300" t="s">
        <v>73</v>
      </c>
      <c r="H300" t="s">
        <v>159</v>
      </c>
      <c r="I300" t="s">
        <v>160</v>
      </c>
      <c r="J300" t="s">
        <v>161</v>
      </c>
      <c r="K300" t="s">
        <v>138</v>
      </c>
      <c r="L300" t="s">
        <v>551</v>
      </c>
      <c r="M300" t="s">
        <v>225</v>
      </c>
      <c r="N300" t="s">
        <v>11</v>
      </c>
      <c r="O300">
        <v>36</v>
      </c>
      <c r="P300" t="s">
        <v>54</v>
      </c>
      <c r="Q300" t="s">
        <v>436</v>
      </c>
      <c r="R300" t="s">
        <v>437</v>
      </c>
      <c r="S300" t="s">
        <v>178</v>
      </c>
      <c r="T300" t="s">
        <v>35</v>
      </c>
      <c r="U300">
        <v>3</v>
      </c>
      <c r="V300">
        <v>66</v>
      </c>
      <c r="W300">
        <v>165</v>
      </c>
      <c r="X300">
        <v>10</v>
      </c>
      <c r="Y300">
        <v>445.5</v>
      </c>
      <c r="Z300">
        <v>247.5</v>
      </c>
      <c r="AA300" t="s">
        <v>36</v>
      </c>
      <c r="AB300" t="s">
        <v>18</v>
      </c>
      <c r="AC300">
        <v>4</v>
      </c>
      <c r="AD300" t="s">
        <v>105</v>
      </c>
      <c r="AE300" t="s">
        <v>95</v>
      </c>
      <c r="AF300" t="str">
        <f t="shared" si="9"/>
        <v>No</v>
      </c>
    </row>
    <row r="301" spans="1:32" x14ac:dyDescent="0.3">
      <c r="A301" t="s">
        <v>769</v>
      </c>
      <c r="B301" s="1">
        <v>45668</v>
      </c>
      <c r="C301" t="s">
        <v>373</v>
      </c>
      <c r="D301">
        <f t="shared" si="8"/>
        <v>9</v>
      </c>
      <c r="E301" t="s">
        <v>2</v>
      </c>
      <c r="F301" t="s">
        <v>3</v>
      </c>
      <c r="G301" t="s">
        <v>132</v>
      </c>
      <c r="H301" t="s">
        <v>24</v>
      </c>
      <c r="I301" t="s">
        <v>25</v>
      </c>
      <c r="J301" t="s">
        <v>26</v>
      </c>
      <c r="K301" t="s">
        <v>306</v>
      </c>
      <c r="L301" t="s">
        <v>468</v>
      </c>
      <c r="M301" t="s">
        <v>225</v>
      </c>
      <c r="N301" t="s">
        <v>30</v>
      </c>
      <c r="O301">
        <v>57</v>
      </c>
      <c r="P301" t="s">
        <v>91</v>
      </c>
      <c r="Q301" t="s">
        <v>55</v>
      </c>
      <c r="R301" t="s">
        <v>56</v>
      </c>
      <c r="S301" t="s">
        <v>57</v>
      </c>
      <c r="T301" t="s">
        <v>35</v>
      </c>
      <c r="U301">
        <v>1</v>
      </c>
      <c r="V301">
        <v>36</v>
      </c>
      <c r="W301">
        <v>79.2</v>
      </c>
      <c r="X301">
        <v>10</v>
      </c>
      <c r="Y301">
        <v>71.28</v>
      </c>
      <c r="Z301">
        <v>35.28</v>
      </c>
      <c r="AA301" t="s">
        <v>17</v>
      </c>
      <c r="AB301" t="s">
        <v>129</v>
      </c>
      <c r="AC301">
        <v>4</v>
      </c>
      <c r="AD301" t="s">
        <v>19</v>
      </c>
      <c r="AE301" t="s">
        <v>20</v>
      </c>
      <c r="AF301" t="str">
        <f t="shared" si="9"/>
        <v>Yes</v>
      </c>
    </row>
    <row r="302" spans="1:32" x14ac:dyDescent="0.3">
      <c r="A302" t="s">
        <v>770</v>
      </c>
      <c r="B302" s="1">
        <v>45762</v>
      </c>
      <c r="C302" t="s">
        <v>158</v>
      </c>
      <c r="D302">
        <f t="shared" si="8"/>
        <v>8</v>
      </c>
      <c r="E302" t="s">
        <v>60</v>
      </c>
      <c r="F302" t="s">
        <v>48</v>
      </c>
      <c r="G302" t="s">
        <v>181</v>
      </c>
      <c r="H302" t="s">
        <v>99</v>
      </c>
      <c r="I302" t="s">
        <v>100</v>
      </c>
      <c r="J302" t="s">
        <v>101</v>
      </c>
      <c r="K302" t="s">
        <v>182</v>
      </c>
      <c r="L302" t="s">
        <v>450</v>
      </c>
      <c r="M302" t="s">
        <v>225</v>
      </c>
      <c r="N302" t="s">
        <v>11</v>
      </c>
      <c r="O302">
        <v>28</v>
      </c>
      <c r="P302" t="s">
        <v>91</v>
      </c>
      <c r="Q302" t="s">
        <v>518</v>
      </c>
      <c r="R302" t="s">
        <v>519</v>
      </c>
      <c r="S302" t="s">
        <v>242</v>
      </c>
      <c r="T302" t="s">
        <v>35</v>
      </c>
      <c r="U302">
        <v>3</v>
      </c>
      <c r="V302">
        <v>88</v>
      </c>
      <c r="W302">
        <v>193.6</v>
      </c>
      <c r="X302">
        <v>15</v>
      </c>
      <c r="Y302">
        <v>493.68</v>
      </c>
      <c r="Z302">
        <v>229.68</v>
      </c>
      <c r="AA302" t="s">
        <v>17</v>
      </c>
      <c r="AB302" t="s">
        <v>129</v>
      </c>
      <c r="AD302" t="s">
        <v>105</v>
      </c>
      <c r="AE302" t="s">
        <v>95</v>
      </c>
      <c r="AF302" t="str">
        <f t="shared" si="9"/>
        <v>No</v>
      </c>
    </row>
    <row r="303" spans="1:32" x14ac:dyDescent="0.3">
      <c r="A303" t="s">
        <v>771</v>
      </c>
      <c r="B303" s="1">
        <v>45759</v>
      </c>
      <c r="C303" t="s">
        <v>113</v>
      </c>
      <c r="D303">
        <f t="shared" si="8"/>
        <v>8</v>
      </c>
      <c r="E303" t="s">
        <v>60</v>
      </c>
      <c r="F303" t="s">
        <v>48</v>
      </c>
      <c r="G303" t="s">
        <v>132</v>
      </c>
      <c r="H303" t="s">
        <v>49</v>
      </c>
      <c r="I303" t="s">
        <v>50</v>
      </c>
      <c r="J303" t="s">
        <v>7</v>
      </c>
      <c r="K303" t="s">
        <v>27</v>
      </c>
      <c r="L303" t="s">
        <v>772</v>
      </c>
      <c r="M303" t="s">
        <v>10</v>
      </c>
      <c r="N303" t="s">
        <v>30</v>
      </c>
      <c r="O303">
        <v>63</v>
      </c>
      <c r="P303" t="s">
        <v>76</v>
      </c>
      <c r="Q303" t="s">
        <v>252</v>
      </c>
      <c r="R303" t="s">
        <v>253</v>
      </c>
      <c r="S303" t="s">
        <v>178</v>
      </c>
      <c r="T303" t="s">
        <v>35</v>
      </c>
      <c r="U303">
        <v>2</v>
      </c>
      <c r="V303">
        <v>82</v>
      </c>
      <c r="W303">
        <v>205</v>
      </c>
      <c r="X303">
        <v>10</v>
      </c>
      <c r="Y303">
        <v>369</v>
      </c>
      <c r="Z303">
        <v>205</v>
      </c>
      <c r="AA303" t="s">
        <v>36</v>
      </c>
      <c r="AB303" t="s">
        <v>119</v>
      </c>
      <c r="AD303" t="s">
        <v>105</v>
      </c>
      <c r="AE303" t="s">
        <v>95</v>
      </c>
      <c r="AF303" t="str">
        <f t="shared" si="9"/>
        <v>No</v>
      </c>
    </row>
    <row r="304" spans="1:32" x14ac:dyDescent="0.3">
      <c r="A304" t="s">
        <v>773</v>
      </c>
      <c r="B304" s="1">
        <v>45794</v>
      </c>
      <c r="C304" t="s">
        <v>463</v>
      </c>
      <c r="D304">
        <f t="shared" si="8"/>
        <v>12</v>
      </c>
      <c r="E304" t="s">
        <v>47</v>
      </c>
      <c r="F304" t="s">
        <v>48</v>
      </c>
      <c r="G304" t="s">
        <v>132</v>
      </c>
      <c r="H304" t="s">
        <v>24</v>
      </c>
      <c r="I304" t="s">
        <v>25</v>
      </c>
      <c r="J304" t="s">
        <v>26</v>
      </c>
      <c r="K304" t="s">
        <v>182</v>
      </c>
      <c r="L304" t="s">
        <v>277</v>
      </c>
      <c r="M304" t="s">
        <v>53</v>
      </c>
      <c r="N304" t="s">
        <v>11</v>
      </c>
      <c r="O304">
        <v>38</v>
      </c>
      <c r="P304" t="s">
        <v>12</v>
      </c>
      <c r="Q304" t="s">
        <v>252</v>
      </c>
      <c r="R304" t="s">
        <v>253</v>
      </c>
      <c r="S304" t="s">
        <v>178</v>
      </c>
      <c r="T304" t="s">
        <v>35</v>
      </c>
      <c r="U304">
        <v>2</v>
      </c>
      <c r="V304">
        <v>82</v>
      </c>
      <c r="W304">
        <v>205</v>
      </c>
      <c r="X304">
        <v>5</v>
      </c>
      <c r="Y304">
        <v>389.5</v>
      </c>
      <c r="Z304">
        <v>225.5</v>
      </c>
      <c r="AA304" t="s">
        <v>36</v>
      </c>
      <c r="AB304" t="s">
        <v>18</v>
      </c>
      <c r="AC304">
        <v>3</v>
      </c>
      <c r="AD304" t="s">
        <v>105</v>
      </c>
      <c r="AE304" t="s">
        <v>20</v>
      </c>
      <c r="AF304" t="str">
        <f t="shared" si="9"/>
        <v>Yes</v>
      </c>
    </row>
    <row r="305" spans="1:32" x14ac:dyDescent="0.3">
      <c r="A305" t="s">
        <v>774</v>
      </c>
      <c r="B305" s="1">
        <v>45706</v>
      </c>
      <c r="C305" t="s">
        <v>80</v>
      </c>
      <c r="D305">
        <f t="shared" si="8"/>
        <v>10</v>
      </c>
      <c r="E305" t="s">
        <v>145</v>
      </c>
      <c r="F305" t="s">
        <v>3</v>
      </c>
      <c r="G305" t="s">
        <v>181</v>
      </c>
      <c r="H305" t="s">
        <v>99</v>
      </c>
      <c r="I305" t="s">
        <v>100</v>
      </c>
      <c r="J305" t="s">
        <v>101</v>
      </c>
      <c r="K305" t="s">
        <v>245</v>
      </c>
      <c r="L305" t="s">
        <v>239</v>
      </c>
      <c r="M305" t="s">
        <v>29</v>
      </c>
      <c r="N305" t="s">
        <v>30</v>
      </c>
      <c r="O305">
        <v>52</v>
      </c>
      <c r="P305" t="s">
        <v>31</v>
      </c>
      <c r="Q305" t="s">
        <v>409</v>
      </c>
      <c r="R305" t="s">
        <v>410</v>
      </c>
      <c r="S305" t="s">
        <v>237</v>
      </c>
      <c r="T305" t="s">
        <v>16</v>
      </c>
      <c r="U305">
        <v>3</v>
      </c>
      <c r="V305">
        <v>26</v>
      </c>
      <c r="W305">
        <v>78</v>
      </c>
      <c r="X305">
        <v>15</v>
      </c>
      <c r="Y305">
        <v>198.9</v>
      </c>
      <c r="Z305">
        <v>120.9</v>
      </c>
      <c r="AA305" t="s">
        <v>179</v>
      </c>
      <c r="AB305" t="s">
        <v>37</v>
      </c>
      <c r="AD305" t="s">
        <v>105</v>
      </c>
      <c r="AE305" t="s">
        <v>20</v>
      </c>
      <c r="AF305" t="str">
        <f t="shared" si="9"/>
        <v>Yes</v>
      </c>
    </row>
    <row r="306" spans="1:32" x14ac:dyDescent="0.3">
      <c r="A306" t="s">
        <v>775</v>
      </c>
      <c r="B306" s="1">
        <v>45662</v>
      </c>
      <c r="C306" t="s">
        <v>351</v>
      </c>
      <c r="D306">
        <f t="shared" si="8"/>
        <v>9</v>
      </c>
      <c r="E306" t="s">
        <v>2</v>
      </c>
      <c r="F306" t="s">
        <v>3</v>
      </c>
      <c r="G306" t="s">
        <v>4</v>
      </c>
      <c r="H306" t="s">
        <v>159</v>
      </c>
      <c r="I306" t="s">
        <v>160</v>
      </c>
      <c r="J306" t="s">
        <v>161</v>
      </c>
      <c r="K306" t="s">
        <v>8</v>
      </c>
      <c r="L306" t="s">
        <v>776</v>
      </c>
      <c r="M306" t="s">
        <v>140</v>
      </c>
      <c r="N306" t="s">
        <v>11</v>
      </c>
      <c r="O306">
        <v>46</v>
      </c>
      <c r="P306" t="s">
        <v>76</v>
      </c>
      <c r="Q306" t="s">
        <v>155</v>
      </c>
      <c r="R306" t="s">
        <v>156</v>
      </c>
      <c r="S306" t="s">
        <v>34</v>
      </c>
      <c r="T306" t="s">
        <v>16</v>
      </c>
      <c r="U306">
        <v>3</v>
      </c>
      <c r="V306">
        <v>40</v>
      </c>
      <c r="W306">
        <v>100</v>
      </c>
      <c r="X306">
        <v>10</v>
      </c>
      <c r="Y306">
        <v>270</v>
      </c>
      <c r="Z306">
        <v>150</v>
      </c>
      <c r="AA306" t="s">
        <v>179</v>
      </c>
      <c r="AB306" t="s">
        <v>37</v>
      </c>
      <c r="AC306">
        <v>5</v>
      </c>
      <c r="AD306" t="s">
        <v>19</v>
      </c>
      <c r="AE306" t="s">
        <v>20</v>
      </c>
      <c r="AF306" t="str">
        <f t="shared" si="9"/>
        <v>Yes</v>
      </c>
    </row>
    <row r="307" spans="1:32" x14ac:dyDescent="0.3">
      <c r="A307" t="s">
        <v>777</v>
      </c>
      <c r="B307" s="1">
        <v>45777</v>
      </c>
      <c r="C307" t="s">
        <v>39</v>
      </c>
      <c r="D307">
        <f t="shared" si="8"/>
        <v>18</v>
      </c>
      <c r="E307" t="s">
        <v>60</v>
      </c>
      <c r="F307" t="s">
        <v>48</v>
      </c>
      <c r="G307" t="s">
        <v>73</v>
      </c>
      <c r="H307" t="s">
        <v>61</v>
      </c>
      <c r="I307" t="s">
        <v>62</v>
      </c>
      <c r="J307" t="s">
        <v>7</v>
      </c>
      <c r="K307" t="s">
        <v>8</v>
      </c>
      <c r="L307" t="s">
        <v>239</v>
      </c>
      <c r="M307" t="s">
        <v>29</v>
      </c>
      <c r="N307" t="s">
        <v>30</v>
      </c>
      <c r="O307">
        <v>58</v>
      </c>
      <c r="P307" t="s">
        <v>76</v>
      </c>
      <c r="Q307" t="s">
        <v>155</v>
      </c>
      <c r="R307" t="s">
        <v>156</v>
      </c>
      <c r="S307" t="s">
        <v>34</v>
      </c>
      <c r="T307" t="s">
        <v>16</v>
      </c>
      <c r="U307">
        <v>2</v>
      </c>
      <c r="V307">
        <v>40</v>
      </c>
      <c r="W307">
        <v>100</v>
      </c>
      <c r="X307">
        <v>10</v>
      </c>
      <c r="Y307">
        <v>180</v>
      </c>
      <c r="Z307">
        <v>100</v>
      </c>
      <c r="AA307" t="s">
        <v>36</v>
      </c>
      <c r="AB307" t="s">
        <v>44</v>
      </c>
      <c r="AD307" t="s">
        <v>19</v>
      </c>
      <c r="AE307" t="s">
        <v>95</v>
      </c>
      <c r="AF307" t="str">
        <f t="shared" si="9"/>
        <v>No</v>
      </c>
    </row>
    <row r="308" spans="1:32" x14ac:dyDescent="0.3">
      <c r="A308" t="s">
        <v>778</v>
      </c>
      <c r="B308" s="1">
        <v>45775</v>
      </c>
      <c r="C308" t="s">
        <v>80</v>
      </c>
      <c r="D308">
        <f t="shared" si="8"/>
        <v>10</v>
      </c>
      <c r="E308" t="s">
        <v>60</v>
      </c>
      <c r="F308" t="s">
        <v>48</v>
      </c>
      <c r="G308" t="s">
        <v>23</v>
      </c>
      <c r="H308" t="s">
        <v>81</v>
      </c>
      <c r="I308" t="s">
        <v>82</v>
      </c>
      <c r="J308" t="s">
        <v>7</v>
      </c>
      <c r="K308" t="s">
        <v>138</v>
      </c>
      <c r="L308" t="s">
        <v>779</v>
      </c>
      <c r="M308" t="s">
        <v>10</v>
      </c>
      <c r="N308" t="s">
        <v>30</v>
      </c>
      <c r="O308">
        <v>24</v>
      </c>
      <c r="P308" t="s">
        <v>54</v>
      </c>
      <c r="Q308" t="s">
        <v>710</v>
      </c>
      <c r="R308" t="s">
        <v>711</v>
      </c>
      <c r="S308" t="s">
        <v>94</v>
      </c>
      <c r="T308" t="s">
        <v>16</v>
      </c>
      <c r="U308">
        <v>1</v>
      </c>
      <c r="V308">
        <v>83</v>
      </c>
      <c r="W308">
        <v>182.6</v>
      </c>
      <c r="X308">
        <v>10</v>
      </c>
      <c r="Y308">
        <v>164.34</v>
      </c>
      <c r="Z308">
        <v>81.34</v>
      </c>
      <c r="AA308" t="s">
        <v>17</v>
      </c>
      <c r="AB308" t="s">
        <v>18</v>
      </c>
      <c r="AC308">
        <v>4</v>
      </c>
      <c r="AD308" t="s">
        <v>105</v>
      </c>
      <c r="AE308" t="s">
        <v>20</v>
      </c>
      <c r="AF308" t="str">
        <f t="shared" si="9"/>
        <v>Yes</v>
      </c>
    </row>
    <row r="309" spans="1:32" x14ac:dyDescent="0.3">
      <c r="A309" t="s">
        <v>780</v>
      </c>
      <c r="B309" s="1">
        <v>45742</v>
      </c>
      <c r="C309" t="s">
        <v>265</v>
      </c>
      <c r="D309">
        <f t="shared" si="8"/>
        <v>7</v>
      </c>
      <c r="E309" t="s">
        <v>72</v>
      </c>
      <c r="F309" t="s">
        <v>3</v>
      </c>
      <c r="G309" t="s">
        <v>73</v>
      </c>
      <c r="H309" t="s">
        <v>61</v>
      </c>
      <c r="I309" t="s">
        <v>62</v>
      </c>
      <c r="J309" t="s">
        <v>7</v>
      </c>
      <c r="K309" t="s">
        <v>167</v>
      </c>
      <c r="L309" t="s">
        <v>500</v>
      </c>
      <c r="M309" t="s">
        <v>261</v>
      </c>
      <c r="N309" t="s">
        <v>11</v>
      </c>
      <c r="O309">
        <v>32</v>
      </c>
      <c r="P309" t="s">
        <v>76</v>
      </c>
      <c r="Q309" t="s">
        <v>55</v>
      </c>
      <c r="R309" t="s">
        <v>56</v>
      </c>
      <c r="S309" t="s">
        <v>57</v>
      </c>
      <c r="T309" t="s">
        <v>35</v>
      </c>
      <c r="U309">
        <v>3</v>
      </c>
      <c r="V309">
        <v>36</v>
      </c>
      <c r="W309">
        <v>79.2</v>
      </c>
      <c r="X309">
        <v>15</v>
      </c>
      <c r="Y309">
        <v>201.96</v>
      </c>
      <c r="Z309">
        <v>93.96</v>
      </c>
      <c r="AA309" t="s">
        <v>36</v>
      </c>
      <c r="AB309" t="s">
        <v>44</v>
      </c>
      <c r="AC309">
        <v>4</v>
      </c>
      <c r="AD309" t="s">
        <v>19</v>
      </c>
      <c r="AE309" t="s">
        <v>95</v>
      </c>
      <c r="AF309" t="str">
        <f t="shared" si="9"/>
        <v>No</v>
      </c>
    </row>
    <row r="310" spans="1:32" x14ac:dyDescent="0.3">
      <c r="A310" t="s">
        <v>781</v>
      </c>
      <c r="B310" s="1">
        <v>45703</v>
      </c>
      <c r="C310" t="s">
        <v>113</v>
      </c>
      <c r="D310">
        <f t="shared" si="8"/>
        <v>8</v>
      </c>
      <c r="E310" t="s">
        <v>145</v>
      </c>
      <c r="F310" t="s">
        <v>3</v>
      </c>
      <c r="G310" t="s">
        <v>132</v>
      </c>
      <c r="H310" t="s">
        <v>5</v>
      </c>
      <c r="I310" t="s">
        <v>6</v>
      </c>
      <c r="J310" t="s">
        <v>7</v>
      </c>
      <c r="K310" t="s">
        <v>8</v>
      </c>
      <c r="L310" t="s">
        <v>341</v>
      </c>
      <c r="M310" t="s">
        <v>225</v>
      </c>
      <c r="N310" t="s">
        <v>11</v>
      </c>
      <c r="O310">
        <v>63</v>
      </c>
      <c r="P310" t="s">
        <v>12</v>
      </c>
      <c r="Q310" t="s">
        <v>216</v>
      </c>
      <c r="R310" t="s">
        <v>217</v>
      </c>
      <c r="S310" t="s">
        <v>218</v>
      </c>
      <c r="T310" t="s">
        <v>35</v>
      </c>
      <c r="U310">
        <v>4</v>
      </c>
      <c r="V310">
        <v>67</v>
      </c>
      <c r="W310">
        <v>187.6</v>
      </c>
      <c r="X310">
        <v>5</v>
      </c>
      <c r="Y310">
        <v>712.88</v>
      </c>
      <c r="Z310">
        <v>444.88</v>
      </c>
      <c r="AA310" t="s">
        <v>17</v>
      </c>
      <c r="AB310" t="s">
        <v>119</v>
      </c>
      <c r="AD310" t="s">
        <v>105</v>
      </c>
      <c r="AE310" t="s">
        <v>20</v>
      </c>
      <c r="AF310" t="str">
        <f t="shared" si="9"/>
        <v>Yes</v>
      </c>
    </row>
    <row r="311" spans="1:32" x14ac:dyDescent="0.3">
      <c r="A311" t="s">
        <v>782</v>
      </c>
      <c r="B311" s="1">
        <v>45756</v>
      </c>
      <c r="C311" t="s">
        <v>537</v>
      </c>
      <c r="D311">
        <f t="shared" si="8"/>
        <v>8</v>
      </c>
      <c r="E311" t="s">
        <v>60</v>
      </c>
      <c r="F311" t="s">
        <v>48</v>
      </c>
      <c r="G311" t="s">
        <v>73</v>
      </c>
      <c r="H311" t="s">
        <v>164</v>
      </c>
      <c r="I311" t="s">
        <v>165</v>
      </c>
      <c r="J311" t="s">
        <v>166</v>
      </c>
      <c r="K311" t="s">
        <v>114</v>
      </c>
      <c r="L311" t="s">
        <v>776</v>
      </c>
      <c r="M311" t="s">
        <v>53</v>
      </c>
      <c r="N311" t="s">
        <v>30</v>
      </c>
      <c r="O311">
        <v>45</v>
      </c>
      <c r="P311" t="s">
        <v>31</v>
      </c>
      <c r="Q311" t="s">
        <v>32</v>
      </c>
      <c r="R311" t="s">
        <v>33</v>
      </c>
      <c r="S311" t="s">
        <v>34</v>
      </c>
      <c r="T311" t="s">
        <v>35</v>
      </c>
      <c r="U311">
        <v>3</v>
      </c>
      <c r="V311">
        <v>83</v>
      </c>
      <c r="W311">
        <v>232.4</v>
      </c>
      <c r="X311">
        <v>0</v>
      </c>
      <c r="Y311">
        <v>697.2</v>
      </c>
      <c r="Z311">
        <v>448.2</v>
      </c>
      <c r="AA311" t="s">
        <v>17</v>
      </c>
      <c r="AB311" t="s">
        <v>44</v>
      </c>
      <c r="AC311">
        <v>5</v>
      </c>
      <c r="AD311" t="s">
        <v>105</v>
      </c>
      <c r="AE311" t="s">
        <v>20</v>
      </c>
      <c r="AF311" t="str">
        <f t="shared" si="9"/>
        <v>Yes</v>
      </c>
    </row>
    <row r="312" spans="1:32" x14ac:dyDescent="0.3">
      <c r="A312" t="s">
        <v>783</v>
      </c>
      <c r="B312" s="1">
        <v>45726</v>
      </c>
      <c r="C312" t="s">
        <v>207</v>
      </c>
      <c r="D312">
        <f t="shared" si="8"/>
        <v>20</v>
      </c>
      <c r="E312" t="s">
        <v>72</v>
      </c>
      <c r="F312" t="s">
        <v>3</v>
      </c>
      <c r="G312" t="s">
        <v>23</v>
      </c>
      <c r="H312" t="s">
        <v>164</v>
      </c>
      <c r="I312" t="s">
        <v>165</v>
      </c>
      <c r="J312" t="s">
        <v>166</v>
      </c>
      <c r="K312" t="s">
        <v>114</v>
      </c>
      <c r="L312" t="s">
        <v>784</v>
      </c>
      <c r="M312" t="s">
        <v>10</v>
      </c>
      <c r="N312" t="s">
        <v>11</v>
      </c>
      <c r="O312">
        <v>41</v>
      </c>
      <c r="P312" t="s">
        <v>31</v>
      </c>
      <c r="Q312" t="s">
        <v>252</v>
      </c>
      <c r="R312" t="s">
        <v>253</v>
      </c>
      <c r="S312" t="s">
        <v>178</v>
      </c>
      <c r="T312" t="s">
        <v>35</v>
      </c>
      <c r="U312">
        <v>1</v>
      </c>
      <c r="V312">
        <v>82</v>
      </c>
      <c r="W312">
        <v>205</v>
      </c>
      <c r="X312">
        <v>5</v>
      </c>
      <c r="Y312">
        <v>194.75</v>
      </c>
      <c r="Z312">
        <v>112.75</v>
      </c>
      <c r="AA312" t="s">
        <v>17</v>
      </c>
      <c r="AB312" t="s">
        <v>129</v>
      </c>
      <c r="AD312" t="s">
        <v>105</v>
      </c>
      <c r="AE312" t="s">
        <v>20</v>
      </c>
      <c r="AF312" t="str">
        <f t="shared" si="9"/>
        <v>Yes</v>
      </c>
    </row>
    <row r="313" spans="1:32" x14ac:dyDescent="0.3">
      <c r="A313" t="s">
        <v>785</v>
      </c>
      <c r="B313" s="1">
        <v>45764</v>
      </c>
      <c r="C313" t="s">
        <v>345</v>
      </c>
      <c r="D313">
        <f t="shared" si="8"/>
        <v>18</v>
      </c>
      <c r="E313" t="s">
        <v>60</v>
      </c>
      <c r="F313" t="s">
        <v>48</v>
      </c>
      <c r="G313" t="s">
        <v>98</v>
      </c>
      <c r="H313" t="s">
        <v>5</v>
      </c>
      <c r="I313" t="s">
        <v>6</v>
      </c>
      <c r="J313" t="s">
        <v>7</v>
      </c>
      <c r="K313" t="s">
        <v>196</v>
      </c>
      <c r="L313" t="s">
        <v>786</v>
      </c>
      <c r="M313" t="s">
        <v>261</v>
      </c>
      <c r="N313" t="s">
        <v>30</v>
      </c>
      <c r="O313">
        <v>45</v>
      </c>
      <c r="P313" t="s">
        <v>12</v>
      </c>
      <c r="Q313" t="s">
        <v>85</v>
      </c>
      <c r="R313" t="s">
        <v>86</v>
      </c>
      <c r="S313" t="s">
        <v>34</v>
      </c>
      <c r="T313" t="s">
        <v>16</v>
      </c>
      <c r="U313">
        <v>4</v>
      </c>
      <c r="V313">
        <v>27</v>
      </c>
      <c r="W313">
        <v>81</v>
      </c>
      <c r="X313">
        <v>0</v>
      </c>
      <c r="Y313">
        <v>324</v>
      </c>
      <c r="Z313">
        <v>216</v>
      </c>
      <c r="AA313" t="s">
        <v>43</v>
      </c>
      <c r="AB313" t="s">
        <v>119</v>
      </c>
      <c r="AC313">
        <v>4</v>
      </c>
      <c r="AD313" t="s">
        <v>105</v>
      </c>
      <c r="AE313" t="s">
        <v>95</v>
      </c>
      <c r="AF313" t="str">
        <f t="shared" si="9"/>
        <v>No</v>
      </c>
    </row>
    <row r="314" spans="1:32" x14ac:dyDescent="0.3">
      <c r="A314" t="s">
        <v>787</v>
      </c>
      <c r="B314" s="1">
        <v>45762</v>
      </c>
      <c r="C314" t="s">
        <v>80</v>
      </c>
      <c r="D314">
        <f t="shared" si="8"/>
        <v>10</v>
      </c>
      <c r="E314" t="s">
        <v>60</v>
      </c>
      <c r="F314" t="s">
        <v>48</v>
      </c>
      <c r="G314" t="s">
        <v>181</v>
      </c>
      <c r="H314" t="s">
        <v>99</v>
      </c>
      <c r="I314" t="s">
        <v>100</v>
      </c>
      <c r="J314" t="s">
        <v>101</v>
      </c>
      <c r="K314" t="s">
        <v>153</v>
      </c>
      <c r="L314" t="s">
        <v>779</v>
      </c>
      <c r="M314" t="s">
        <v>225</v>
      </c>
      <c r="N314" t="s">
        <v>11</v>
      </c>
      <c r="O314">
        <v>55</v>
      </c>
      <c r="P314" t="s">
        <v>12</v>
      </c>
      <c r="Q314" t="s">
        <v>358</v>
      </c>
      <c r="R314" t="s">
        <v>359</v>
      </c>
      <c r="S314" t="s">
        <v>15</v>
      </c>
      <c r="T314" t="s">
        <v>35</v>
      </c>
      <c r="U314">
        <v>2</v>
      </c>
      <c r="V314">
        <v>55</v>
      </c>
      <c r="W314">
        <v>137.5</v>
      </c>
      <c r="X314">
        <v>10</v>
      </c>
      <c r="Y314">
        <v>247.5</v>
      </c>
      <c r="Z314">
        <v>137.5</v>
      </c>
      <c r="AA314" t="s">
        <v>179</v>
      </c>
      <c r="AB314" t="s">
        <v>18</v>
      </c>
      <c r="AC314">
        <v>5</v>
      </c>
      <c r="AD314" t="s">
        <v>105</v>
      </c>
      <c r="AE314" t="s">
        <v>20</v>
      </c>
      <c r="AF314" t="str">
        <f t="shared" si="9"/>
        <v>Yes</v>
      </c>
    </row>
    <row r="315" spans="1:32" x14ac:dyDescent="0.3">
      <c r="A315" t="s">
        <v>788</v>
      </c>
      <c r="B315" s="1">
        <v>45819</v>
      </c>
      <c r="C315" t="s">
        <v>435</v>
      </c>
      <c r="D315">
        <f t="shared" si="8"/>
        <v>13</v>
      </c>
      <c r="E315" t="s">
        <v>131</v>
      </c>
      <c r="F315" t="s">
        <v>48</v>
      </c>
      <c r="G315" t="s">
        <v>73</v>
      </c>
      <c r="H315" t="s">
        <v>61</v>
      </c>
      <c r="I315" t="s">
        <v>62</v>
      </c>
      <c r="J315" t="s">
        <v>7</v>
      </c>
      <c r="K315" t="s">
        <v>63</v>
      </c>
      <c r="L315" t="s">
        <v>789</v>
      </c>
      <c r="M315" t="s">
        <v>184</v>
      </c>
      <c r="N315" t="s">
        <v>11</v>
      </c>
      <c r="O315">
        <v>18</v>
      </c>
      <c r="P315" t="s">
        <v>12</v>
      </c>
      <c r="Q315" t="s">
        <v>211</v>
      </c>
      <c r="R315" t="s">
        <v>212</v>
      </c>
      <c r="S315" t="s">
        <v>128</v>
      </c>
      <c r="T315" t="s">
        <v>16</v>
      </c>
      <c r="U315">
        <v>4</v>
      </c>
      <c r="V315">
        <v>50</v>
      </c>
      <c r="W315">
        <v>140</v>
      </c>
      <c r="X315">
        <v>15</v>
      </c>
      <c r="Y315">
        <v>476</v>
      </c>
      <c r="Z315">
        <v>276</v>
      </c>
      <c r="AA315" t="s">
        <v>17</v>
      </c>
      <c r="AB315" t="s">
        <v>119</v>
      </c>
      <c r="AC315">
        <v>5</v>
      </c>
      <c r="AD315" t="s">
        <v>105</v>
      </c>
      <c r="AE315" t="s">
        <v>20</v>
      </c>
      <c r="AF315" t="str">
        <f t="shared" si="9"/>
        <v>Yes</v>
      </c>
    </row>
    <row r="316" spans="1:32" x14ac:dyDescent="0.3">
      <c r="A316" t="s">
        <v>790</v>
      </c>
      <c r="B316" s="1">
        <v>45814</v>
      </c>
      <c r="C316" t="s">
        <v>250</v>
      </c>
      <c r="D316">
        <f t="shared" si="8"/>
        <v>13</v>
      </c>
      <c r="E316" t="s">
        <v>131</v>
      </c>
      <c r="F316" t="s">
        <v>48</v>
      </c>
      <c r="G316" t="s">
        <v>40</v>
      </c>
      <c r="H316" t="s">
        <v>159</v>
      </c>
      <c r="I316" t="s">
        <v>160</v>
      </c>
      <c r="J316" t="s">
        <v>161</v>
      </c>
      <c r="K316" t="s">
        <v>311</v>
      </c>
      <c r="L316" t="s">
        <v>234</v>
      </c>
      <c r="M316" t="s">
        <v>162</v>
      </c>
      <c r="N316" t="s">
        <v>30</v>
      </c>
      <c r="O316">
        <v>46</v>
      </c>
      <c r="P316" t="s">
        <v>31</v>
      </c>
      <c r="Q316" t="s">
        <v>370</v>
      </c>
      <c r="R316" t="s">
        <v>371</v>
      </c>
      <c r="S316" t="s">
        <v>111</v>
      </c>
      <c r="T316" t="s">
        <v>35</v>
      </c>
      <c r="U316">
        <v>2</v>
      </c>
      <c r="V316">
        <v>99</v>
      </c>
      <c r="W316">
        <v>247.5</v>
      </c>
      <c r="X316">
        <v>10</v>
      </c>
      <c r="Y316">
        <v>445.5</v>
      </c>
      <c r="Z316">
        <v>247.5</v>
      </c>
      <c r="AA316" t="s">
        <v>17</v>
      </c>
      <c r="AB316" t="s">
        <v>44</v>
      </c>
      <c r="AD316" t="s">
        <v>105</v>
      </c>
      <c r="AE316" t="s">
        <v>20</v>
      </c>
      <c r="AF316" t="str">
        <f t="shared" si="9"/>
        <v>Yes</v>
      </c>
    </row>
    <row r="317" spans="1:32" x14ac:dyDescent="0.3">
      <c r="A317" t="s">
        <v>791</v>
      </c>
      <c r="B317" s="1">
        <v>45800</v>
      </c>
      <c r="C317" t="s">
        <v>199</v>
      </c>
      <c r="D317">
        <f t="shared" si="8"/>
        <v>10</v>
      </c>
      <c r="E317" t="s">
        <v>47</v>
      </c>
      <c r="F317" t="s">
        <v>48</v>
      </c>
      <c r="G317" t="s">
        <v>40</v>
      </c>
      <c r="H317" t="s">
        <v>99</v>
      </c>
      <c r="I317" t="s">
        <v>100</v>
      </c>
      <c r="J317" t="s">
        <v>101</v>
      </c>
      <c r="K317" t="s">
        <v>107</v>
      </c>
      <c r="L317" t="s">
        <v>357</v>
      </c>
      <c r="M317" t="s">
        <v>162</v>
      </c>
      <c r="N317" t="s">
        <v>11</v>
      </c>
      <c r="O317">
        <v>48</v>
      </c>
      <c r="P317" t="s">
        <v>91</v>
      </c>
      <c r="Q317" t="s">
        <v>295</v>
      </c>
      <c r="R317" t="s">
        <v>296</v>
      </c>
      <c r="S317" t="s">
        <v>57</v>
      </c>
      <c r="T317" t="s">
        <v>35</v>
      </c>
      <c r="U317">
        <v>3</v>
      </c>
      <c r="V317">
        <v>62</v>
      </c>
      <c r="W317">
        <v>186</v>
      </c>
      <c r="X317">
        <v>0</v>
      </c>
      <c r="Y317">
        <v>558</v>
      </c>
      <c r="Z317">
        <v>372</v>
      </c>
      <c r="AA317" t="s">
        <v>179</v>
      </c>
      <c r="AB317" t="s">
        <v>129</v>
      </c>
      <c r="AC317">
        <v>3</v>
      </c>
      <c r="AD317" t="s">
        <v>105</v>
      </c>
      <c r="AE317" t="s">
        <v>20</v>
      </c>
      <c r="AF317" t="str">
        <f t="shared" si="9"/>
        <v>Yes</v>
      </c>
    </row>
    <row r="318" spans="1:32" x14ac:dyDescent="0.3">
      <c r="A318" t="s">
        <v>792</v>
      </c>
      <c r="B318" s="1">
        <v>45666</v>
      </c>
      <c r="C318" t="s">
        <v>144</v>
      </c>
      <c r="D318">
        <f t="shared" si="8"/>
        <v>20</v>
      </c>
      <c r="E318" t="s">
        <v>2</v>
      </c>
      <c r="F318" t="s">
        <v>3</v>
      </c>
      <c r="G318" t="s">
        <v>98</v>
      </c>
      <c r="H318" t="s">
        <v>159</v>
      </c>
      <c r="I318" t="s">
        <v>160</v>
      </c>
      <c r="J318" t="s">
        <v>161</v>
      </c>
      <c r="K318" t="s">
        <v>229</v>
      </c>
      <c r="L318" t="s">
        <v>168</v>
      </c>
      <c r="M318" t="s">
        <v>10</v>
      </c>
      <c r="N318" t="s">
        <v>11</v>
      </c>
      <c r="O318">
        <v>21</v>
      </c>
      <c r="P318" t="s">
        <v>31</v>
      </c>
      <c r="Q318" t="s">
        <v>103</v>
      </c>
      <c r="R318" t="s">
        <v>104</v>
      </c>
      <c r="S318" t="s">
        <v>94</v>
      </c>
      <c r="T318" t="s">
        <v>35</v>
      </c>
      <c r="U318">
        <v>1</v>
      </c>
      <c r="V318">
        <v>57</v>
      </c>
      <c r="W318">
        <v>159.6</v>
      </c>
      <c r="X318">
        <v>10</v>
      </c>
      <c r="Y318">
        <v>143.63999999999999</v>
      </c>
      <c r="Z318">
        <v>86.64</v>
      </c>
      <c r="AA318" t="s">
        <v>36</v>
      </c>
      <c r="AB318" t="s">
        <v>87</v>
      </c>
      <c r="AC318">
        <v>5</v>
      </c>
      <c r="AD318" t="s">
        <v>105</v>
      </c>
      <c r="AE318" t="s">
        <v>95</v>
      </c>
      <c r="AF318" t="str">
        <f t="shared" si="9"/>
        <v>No</v>
      </c>
    </row>
    <row r="319" spans="1:32" x14ac:dyDescent="0.3">
      <c r="A319" t="s">
        <v>793</v>
      </c>
      <c r="B319" s="1">
        <v>45678</v>
      </c>
      <c r="C319" t="s">
        <v>399</v>
      </c>
      <c r="D319">
        <f t="shared" si="8"/>
        <v>20</v>
      </c>
      <c r="E319" t="s">
        <v>2</v>
      </c>
      <c r="F319" t="s">
        <v>3</v>
      </c>
      <c r="G319" t="s">
        <v>181</v>
      </c>
      <c r="H319" t="s">
        <v>99</v>
      </c>
      <c r="I319" t="s">
        <v>100</v>
      </c>
      <c r="J319" t="s">
        <v>101</v>
      </c>
      <c r="K319" t="s">
        <v>41</v>
      </c>
      <c r="L319" t="s">
        <v>418</v>
      </c>
      <c r="M319" t="s">
        <v>53</v>
      </c>
      <c r="N319" t="s">
        <v>30</v>
      </c>
      <c r="O319">
        <v>21</v>
      </c>
      <c r="P319" t="s">
        <v>54</v>
      </c>
      <c r="Q319" t="s">
        <v>147</v>
      </c>
      <c r="R319" t="s">
        <v>148</v>
      </c>
      <c r="S319" t="s">
        <v>136</v>
      </c>
      <c r="T319" t="s">
        <v>35</v>
      </c>
      <c r="U319">
        <v>2</v>
      </c>
      <c r="V319">
        <v>58</v>
      </c>
      <c r="W319">
        <v>174</v>
      </c>
      <c r="X319">
        <v>5</v>
      </c>
      <c r="Y319">
        <v>330.6</v>
      </c>
      <c r="Z319">
        <v>214.6</v>
      </c>
      <c r="AA319" t="s">
        <v>43</v>
      </c>
      <c r="AB319" t="s">
        <v>119</v>
      </c>
      <c r="AD319" t="s">
        <v>19</v>
      </c>
      <c r="AE319" t="s">
        <v>20</v>
      </c>
      <c r="AF319" t="str">
        <f t="shared" si="9"/>
        <v>Yes</v>
      </c>
    </row>
    <row r="320" spans="1:32" x14ac:dyDescent="0.3">
      <c r="A320" t="s">
        <v>794</v>
      </c>
      <c r="B320" s="1">
        <v>45781</v>
      </c>
      <c r="C320" t="s">
        <v>250</v>
      </c>
      <c r="D320">
        <f t="shared" si="8"/>
        <v>13</v>
      </c>
      <c r="E320" t="s">
        <v>47</v>
      </c>
      <c r="F320" t="s">
        <v>48</v>
      </c>
      <c r="G320" t="s">
        <v>4</v>
      </c>
      <c r="H320" t="s">
        <v>159</v>
      </c>
      <c r="I320" t="s">
        <v>160</v>
      </c>
      <c r="J320" t="s">
        <v>161</v>
      </c>
      <c r="K320" t="s">
        <v>74</v>
      </c>
      <c r="L320" t="s">
        <v>795</v>
      </c>
      <c r="M320" t="s">
        <v>261</v>
      </c>
      <c r="N320" t="s">
        <v>11</v>
      </c>
      <c r="O320">
        <v>33</v>
      </c>
      <c r="P320" t="s">
        <v>91</v>
      </c>
      <c r="Q320" t="s">
        <v>230</v>
      </c>
      <c r="R320" t="s">
        <v>231</v>
      </c>
      <c r="S320" t="s">
        <v>128</v>
      </c>
      <c r="T320" t="s">
        <v>35</v>
      </c>
      <c r="U320">
        <v>1</v>
      </c>
      <c r="V320">
        <v>62</v>
      </c>
      <c r="W320">
        <v>186</v>
      </c>
      <c r="X320">
        <v>15</v>
      </c>
      <c r="Y320">
        <v>158.1</v>
      </c>
      <c r="Z320">
        <v>96.1</v>
      </c>
      <c r="AA320" t="s">
        <v>17</v>
      </c>
      <c r="AB320" t="s">
        <v>87</v>
      </c>
      <c r="AC320">
        <v>3</v>
      </c>
      <c r="AD320" t="s">
        <v>19</v>
      </c>
      <c r="AE320" t="s">
        <v>20</v>
      </c>
      <c r="AF320" t="str">
        <f t="shared" si="9"/>
        <v>Yes</v>
      </c>
    </row>
    <row r="321" spans="1:32" x14ac:dyDescent="0.3">
      <c r="A321" t="s">
        <v>796</v>
      </c>
      <c r="B321" s="1">
        <v>45768</v>
      </c>
      <c r="C321" t="s">
        <v>265</v>
      </c>
      <c r="D321">
        <f t="shared" si="8"/>
        <v>7</v>
      </c>
      <c r="E321" t="s">
        <v>60</v>
      </c>
      <c r="F321" t="s">
        <v>48</v>
      </c>
      <c r="G321" t="s">
        <v>23</v>
      </c>
      <c r="H321" t="s">
        <v>61</v>
      </c>
      <c r="I321" t="s">
        <v>62</v>
      </c>
      <c r="J321" t="s">
        <v>7</v>
      </c>
      <c r="K321" t="s">
        <v>311</v>
      </c>
      <c r="L321" t="s">
        <v>481</v>
      </c>
      <c r="M321" t="s">
        <v>140</v>
      </c>
      <c r="N321" t="s">
        <v>11</v>
      </c>
      <c r="O321">
        <v>60</v>
      </c>
      <c r="P321" t="s">
        <v>31</v>
      </c>
      <c r="Q321" t="s">
        <v>85</v>
      </c>
      <c r="R321" t="s">
        <v>86</v>
      </c>
      <c r="S321" t="s">
        <v>34</v>
      </c>
      <c r="T321" t="s">
        <v>16</v>
      </c>
      <c r="U321">
        <v>4</v>
      </c>
      <c r="V321">
        <v>27</v>
      </c>
      <c r="W321">
        <v>81</v>
      </c>
      <c r="X321">
        <v>5</v>
      </c>
      <c r="Y321">
        <v>307.8</v>
      </c>
      <c r="Z321">
        <v>199.8</v>
      </c>
      <c r="AA321" t="s">
        <v>69</v>
      </c>
      <c r="AB321" t="s">
        <v>129</v>
      </c>
      <c r="AC321">
        <v>3</v>
      </c>
      <c r="AD321" t="s">
        <v>105</v>
      </c>
      <c r="AE321" t="s">
        <v>20</v>
      </c>
      <c r="AF321" t="str">
        <f t="shared" si="9"/>
        <v>Yes</v>
      </c>
    </row>
    <row r="322" spans="1:32" x14ac:dyDescent="0.3">
      <c r="A322" t="s">
        <v>797</v>
      </c>
      <c r="B322" s="1">
        <v>45764</v>
      </c>
      <c r="C322" t="s">
        <v>322</v>
      </c>
      <c r="D322">
        <f t="shared" ref="D322:D385" si="10">HOUR(C322)</f>
        <v>10</v>
      </c>
      <c r="E322" t="s">
        <v>60</v>
      </c>
      <c r="F322" t="s">
        <v>48</v>
      </c>
      <c r="G322" t="s">
        <v>98</v>
      </c>
      <c r="H322" t="s">
        <v>24</v>
      </c>
      <c r="I322" t="s">
        <v>25</v>
      </c>
      <c r="J322" t="s">
        <v>26</v>
      </c>
      <c r="K322" t="s">
        <v>138</v>
      </c>
      <c r="L322" t="s">
        <v>312</v>
      </c>
      <c r="M322" t="s">
        <v>184</v>
      </c>
      <c r="N322" t="s">
        <v>11</v>
      </c>
      <c r="O322">
        <v>35</v>
      </c>
      <c r="P322" t="s">
        <v>91</v>
      </c>
      <c r="Q322" t="s">
        <v>605</v>
      </c>
      <c r="R322" t="s">
        <v>606</v>
      </c>
      <c r="S322" t="s">
        <v>237</v>
      </c>
      <c r="T322" t="s">
        <v>35</v>
      </c>
      <c r="U322">
        <v>3</v>
      </c>
      <c r="V322">
        <v>79</v>
      </c>
      <c r="W322">
        <v>173.8</v>
      </c>
      <c r="X322">
        <v>0</v>
      </c>
      <c r="Y322">
        <v>521.4</v>
      </c>
      <c r="Z322">
        <v>284.39999999999998</v>
      </c>
      <c r="AA322" t="s">
        <v>69</v>
      </c>
      <c r="AB322" t="s">
        <v>18</v>
      </c>
      <c r="AD322" t="s">
        <v>19</v>
      </c>
      <c r="AE322" t="s">
        <v>20</v>
      </c>
      <c r="AF322" t="str">
        <f t="shared" si="9"/>
        <v>Yes</v>
      </c>
    </row>
    <row r="323" spans="1:32" x14ac:dyDescent="0.3">
      <c r="A323" t="s">
        <v>798</v>
      </c>
      <c r="B323" s="1">
        <v>45782</v>
      </c>
      <c r="C323" t="s">
        <v>202</v>
      </c>
      <c r="D323">
        <f t="shared" si="10"/>
        <v>11</v>
      </c>
      <c r="E323" t="s">
        <v>47</v>
      </c>
      <c r="F323" t="s">
        <v>48</v>
      </c>
      <c r="G323" t="s">
        <v>23</v>
      </c>
      <c r="H323" t="s">
        <v>164</v>
      </c>
      <c r="I323" t="s">
        <v>165</v>
      </c>
      <c r="J323" t="s">
        <v>166</v>
      </c>
      <c r="K323" t="s">
        <v>229</v>
      </c>
      <c r="L323" t="s">
        <v>713</v>
      </c>
      <c r="M323" t="s">
        <v>140</v>
      </c>
      <c r="N323" t="s">
        <v>30</v>
      </c>
      <c r="O323">
        <v>18</v>
      </c>
      <c r="P323" t="s">
        <v>12</v>
      </c>
      <c r="Q323" t="s">
        <v>170</v>
      </c>
      <c r="R323" t="s">
        <v>171</v>
      </c>
      <c r="S323" t="s">
        <v>172</v>
      </c>
      <c r="T323" t="s">
        <v>35</v>
      </c>
      <c r="U323">
        <v>4</v>
      </c>
      <c r="V323">
        <v>72</v>
      </c>
      <c r="W323">
        <v>216</v>
      </c>
      <c r="X323">
        <v>10</v>
      </c>
      <c r="Y323">
        <v>777.6</v>
      </c>
      <c r="Z323">
        <v>489.6</v>
      </c>
      <c r="AA323" t="s">
        <v>43</v>
      </c>
      <c r="AB323" t="s">
        <v>18</v>
      </c>
      <c r="AC323">
        <v>3</v>
      </c>
      <c r="AD323" t="s">
        <v>19</v>
      </c>
      <c r="AE323" t="s">
        <v>20</v>
      </c>
      <c r="AF323" t="str">
        <f t="shared" si="9"/>
        <v>Yes</v>
      </c>
    </row>
    <row r="324" spans="1:32" x14ac:dyDescent="0.3">
      <c r="A324" t="s">
        <v>799</v>
      </c>
      <c r="B324" s="1">
        <v>45669</v>
      </c>
      <c r="C324" t="s">
        <v>144</v>
      </c>
      <c r="D324">
        <f t="shared" si="10"/>
        <v>20</v>
      </c>
      <c r="E324" t="s">
        <v>2</v>
      </c>
      <c r="F324" t="s">
        <v>3</v>
      </c>
      <c r="G324" t="s">
        <v>4</v>
      </c>
      <c r="H324" t="s">
        <v>61</v>
      </c>
      <c r="I324" t="s">
        <v>62</v>
      </c>
      <c r="J324" t="s">
        <v>7</v>
      </c>
      <c r="K324" t="s">
        <v>107</v>
      </c>
      <c r="L324" t="s">
        <v>772</v>
      </c>
      <c r="M324" t="s">
        <v>162</v>
      </c>
      <c r="N324" t="s">
        <v>30</v>
      </c>
      <c r="O324">
        <v>60</v>
      </c>
      <c r="P324" t="s">
        <v>91</v>
      </c>
      <c r="Q324" t="s">
        <v>710</v>
      </c>
      <c r="R324" t="s">
        <v>711</v>
      </c>
      <c r="S324" t="s">
        <v>94</v>
      </c>
      <c r="T324" t="s">
        <v>16</v>
      </c>
      <c r="U324">
        <v>4</v>
      </c>
      <c r="V324">
        <v>83</v>
      </c>
      <c r="W324">
        <v>182.6</v>
      </c>
      <c r="X324">
        <v>10</v>
      </c>
      <c r="Y324">
        <v>657.36</v>
      </c>
      <c r="Z324">
        <v>325.36</v>
      </c>
      <c r="AA324" t="s">
        <v>179</v>
      </c>
      <c r="AB324" t="s">
        <v>44</v>
      </c>
      <c r="AD324" t="s">
        <v>19</v>
      </c>
      <c r="AE324" t="s">
        <v>20</v>
      </c>
      <c r="AF324" t="str">
        <f t="shared" ref="AF324:AF387" si="11">IF(AE324="Completed","Yes",IF(AE324="Cancelled","No","Review"))</f>
        <v>Yes</v>
      </c>
    </row>
    <row r="325" spans="1:32" x14ac:dyDescent="0.3">
      <c r="A325" t="s">
        <v>800</v>
      </c>
      <c r="B325" s="1">
        <v>45831</v>
      </c>
      <c r="C325" t="s">
        <v>537</v>
      </c>
      <c r="D325">
        <f t="shared" si="10"/>
        <v>8</v>
      </c>
      <c r="E325" t="s">
        <v>131</v>
      </c>
      <c r="F325" t="s">
        <v>48</v>
      </c>
      <c r="G325" t="s">
        <v>23</v>
      </c>
      <c r="H325" t="s">
        <v>164</v>
      </c>
      <c r="I325" t="s">
        <v>165</v>
      </c>
      <c r="J325" t="s">
        <v>166</v>
      </c>
      <c r="K325" t="s">
        <v>83</v>
      </c>
      <c r="L325" t="s">
        <v>801</v>
      </c>
      <c r="M325" t="s">
        <v>184</v>
      </c>
      <c r="N325" t="s">
        <v>11</v>
      </c>
      <c r="O325">
        <v>27</v>
      </c>
      <c r="P325" t="s">
        <v>31</v>
      </c>
      <c r="Q325" t="s">
        <v>185</v>
      </c>
      <c r="R325" t="s">
        <v>186</v>
      </c>
      <c r="S325" t="s">
        <v>187</v>
      </c>
      <c r="T325" t="s">
        <v>35</v>
      </c>
      <c r="U325">
        <v>1</v>
      </c>
      <c r="V325">
        <v>57</v>
      </c>
      <c r="W325">
        <v>159.6</v>
      </c>
      <c r="X325">
        <v>15</v>
      </c>
      <c r="Y325">
        <v>135.66</v>
      </c>
      <c r="Z325">
        <v>78.66</v>
      </c>
      <c r="AA325" t="s">
        <v>36</v>
      </c>
      <c r="AB325" t="s">
        <v>129</v>
      </c>
      <c r="AC325">
        <v>5</v>
      </c>
      <c r="AD325" t="s">
        <v>105</v>
      </c>
      <c r="AE325" t="s">
        <v>20</v>
      </c>
      <c r="AF325" t="str">
        <f t="shared" si="11"/>
        <v>Yes</v>
      </c>
    </row>
    <row r="326" spans="1:32" x14ac:dyDescent="0.3">
      <c r="A326" t="s">
        <v>802</v>
      </c>
      <c r="B326" s="1">
        <v>45794</v>
      </c>
      <c r="C326" t="s">
        <v>113</v>
      </c>
      <c r="D326">
        <f t="shared" si="10"/>
        <v>8</v>
      </c>
      <c r="E326" t="s">
        <v>47</v>
      </c>
      <c r="F326" t="s">
        <v>48</v>
      </c>
      <c r="G326" t="s">
        <v>132</v>
      </c>
      <c r="H326" t="s">
        <v>122</v>
      </c>
      <c r="I326" t="s">
        <v>123</v>
      </c>
      <c r="J326" t="s">
        <v>7</v>
      </c>
      <c r="K326" t="s">
        <v>83</v>
      </c>
      <c r="L326" t="s">
        <v>538</v>
      </c>
      <c r="M326" t="s">
        <v>65</v>
      </c>
      <c r="N326" t="s">
        <v>30</v>
      </c>
      <c r="O326">
        <v>33</v>
      </c>
      <c r="P326" t="s">
        <v>91</v>
      </c>
      <c r="Q326" t="s">
        <v>313</v>
      </c>
      <c r="R326" t="s">
        <v>314</v>
      </c>
      <c r="S326" t="s">
        <v>128</v>
      </c>
      <c r="T326" t="s">
        <v>35</v>
      </c>
      <c r="U326">
        <v>1</v>
      </c>
      <c r="V326">
        <v>81</v>
      </c>
      <c r="W326">
        <v>202.5</v>
      </c>
      <c r="X326">
        <v>15</v>
      </c>
      <c r="Y326">
        <v>172.12</v>
      </c>
      <c r="Z326">
        <v>91.12</v>
      </c>
      <c r="AA326" t="s">
        <v>179</v>
      </c>
      <c r="AB326" t="s">
        <v>119</v>
      </c>
      <c r="AC326">
        <v>3</v>
      </c>
      <c r="AD326" t="s">
        <v>105</v>
      </c>
      <c r="AE326" t="s">
        <v>95</v>
      </c>
      <c r="AF326" t="str">
        <f t="shared" si="11"/>
        <v>No</v>
      </c>
    </row>
    <row r="327" spans="1:32" x14ac:dyDescent="0.3">
      <c r="A327" t="s">
        <v>803</v>
      </c>
      <c r="B327" s="1">
        <v>45733</v>
      </c>
      <c r="C327" t="s">
        <v>233</v>
      </c>
      <c r="D327">
        <f t="shared" si="10"/>
        <v>18</v>
      </c>
      <c r="E327" t="s">
        <v>72</v>
      </c>
      <c r="F327" t="s">
        <v>3</v>
      </c>
      <c r="G327" t="s">
        <v>23</v>
      </c>
      <c r="H327" t="s">
        <v>49</v>
      </c>
      <c r="I327" t="s">
        <v>50</v>
      </c>
      <c r="J327" t="s">
        <v>7</v>
      </c>
      <c r="K327" t="s">
        <v>107</v>
      </c>
      <c r="L327" t="s">
        <v>804</v>
      </c>
      <c r="M327" t="s">
        <v>29</v>
      </c>
      <c r="N327" t="s">
        <v>11</v>
      </c>
      <c r="O327">
        <v>25</v>
      </c>
      <c r="P327" t="s">
        <v>54</v>
      </c>
      <c r="Q327" t="s">
        <v>13</v>
      </c>
      <c r="R327" t="s">
        <v>14</v>
      </c>
      <c r="S327" t="s">
        <v>15</v>
      </c>
      <c r="T327" t="s">
        <v>16</v>
      </c>
      <c r="U327">
        <v>3</v>
      </c>
      <c r="V327">
        <v>43</v>
      </c>
      <c r="W327">
        <v>129</v>
      </c>
      <c r="X327">
        <v>15</v>
      </c>
      <c r="Y327">
        <v>328.95</v>
      </c>
      <c r="Z327">
        <v>199.95</v>
      </c>
      <c r="AA327" t="s">
        <v>17</v>
      </c>
      <c r="AB327" t="s">
        <v>129</v>
      </c>
      <c r="AC327">
        <v>3</v>
      </c>
      <c r="AD327" t="s">
        <v>105</v>
      </c>
      <c r="AE327" t="s">
        <v>20</v>
      </c>
      <c r="AF327" t="str">
        <f t="shared" si="11"/>
        <v>Yes</v>
      </c>
    </row>
    <row r="328" spans="1:32" x14ac:dyDescent="0.3">
      <c r="A328" t="s">
        <v>805</v>
      </c>
      <c r="B328" s="1">
        <v>45754</v>
      </c>
      <c r="C328" t="s">
        <v>39</v>
      </c>
      <c r="D328">
        <f t="shared" si="10"/>
        <v>18</v>
      </c>
      <c r="E328" t="s">
        <v>60</v>
      </c>
      <c r="F328" t="s">
        <v>48</v>
      </c>
      <c r="G328" t="s">
        <v>23</v>
      </c>
      <c r="H328" t="s">
        <v>49</v>
      </c>
      <c r="I328" t="s">
        <v>50</v>
      </c>
      <c r="J328" t="s">
        <v>7</v>
      </c>
      <c r="K328" t="s">
        <v>146</v>
      </c>
      <c r="L328" t="s">
        <v>806</v>
      </c>
      <c r="M328" t="s">
        <v>53</v>
      </c>
      <c r="N328" t="s">
        <v>30</v>
      </c>
      <c r="O328">
        <v>57</v>
      </c>
      <c r="P328" t="s">
        <v>54</v>
      </c>
      <c r="Q328" t="s">
        <v>13</v>
      </c>
      <c r="R328" t="s">
        <v>14</v>
      </c>
      <c r="S328" t="s">
        <v>15</v>
      </c>
      <c r="T328" t="s">
        <v>16</v>
      </c>
      <c r="U328">
        <v>4</v>
      </c>
      <c r="V328">
        <v>43</v>
      </c>
      <c r="W328">
        <v>129</v>
      </c>
      <c r="X328">
        <v>10</v>
      </c>
      <c r="Y328">
        <v>464.4</v>
      </c>
      <c r="Z328">
        <v>292.39999999999998</v>
      </c>
      <c r="AA328" t="s">
        <v>179</v>
      </c>
      <c r="AB328" t="s">
        <v>129</v>
      </c>
      <c r="AC328">
        <v>4</v>
      </c>
      <c r="AD328" t="s">
        <v>19</v>
      </c>
      <c r="AE328" t="s">
        <v>20</v>
      </c>
      <c r="AF328" t="str">
        <f t="shared" si="11"/>
        <v>Yes</v>
      </c>
    </row>
    <row r="329" spans="1:32" x14ac:dyDescent="0.3">
      <c r="A329" t="s">
        <v>807</v>
      </c>
      <c r="B329" s="1">
        <v>45748</v>
      </c>
      <c r="C329" t="s">
        <v>22</v>
      </c>
      <c r="D329">
        <f t="shared" si="10"/>
        <v>7</v>
      </c>
      <c r="E329" t="s">
        <v>60</v>
      </c>
      <c r="F329" t="s">
        <v>48</v>
      </c>
      <c r="G329" t="s">
        <v>181</v>
      </c>
      <c r="H329" t="s">
        <v>81</v>
      </c>
      <c r="I329" t="s">
        <v>82</v>
      </c>
      <c r="J329" t="s">
        <v>7</v>
      </c>
      <c r="K329" t="s">
        <v>270</v>
      </c>
      <c r="L329" t="s">
        <v>565</v>
      </c>
      <c r="M329" t="s">
        <v>169</v>
      </c>
      <c r="N329" t="s">
        <v>11</v>
      </c>
      <c r="O329">
        <v>34</v>
      </c>
      <c r="P329" t="s">
        <v>91</v>
      </c>
      <c r="Q329" t="s">
        <v>92</v>
      </c>
      <c r="R329" t="s">
        <v>93</v>
      </c>
      <c r="S329" t="s">
        <v>94</v>
      </c>
      <c r="T329" t="s">
        <v>16</v>
      </c>
      <c r="U329">
        <v>4</v>
      </c>
      <c r="V329">
        <v>85</v>
      </c>
      <c r="W329">
        <v>255</v>
      </c>
      <c r="X329">
        <v>10</v>
      </c>
      <c r="Y329">
        <v>918</v>
      </c>
      <c r="Z329">
        <v>578</v>
      </c>
      <c r="AA329" t="s">
        <v>36</v>
      </c>
      <c r="AB329" t="s">
        <v>18</v>
      </c>
      <c r="AC329">
        <v>4</v>
      </c>
      <c r="AD329" t="s">
        <v>19</v>
      </c>
      <c r="AE329" t="s">
        <v>95</v>
      </c>
      <c r="AF329" t="str">
        <f t="shared" si="11"/>
        <v>No</v>
      </c>
    </row>
    <row r="330" spans="1:32" x14ac:dyDescent="0.3">
      <c r="A330" t="s">
        <v>808</v>
      </c>
      <c r="B330" s="1">
        <v>45677</v>
      </c>
      <c r="C330" t="s">
        <v>351</v>
      </c>
      <c r="D330">
        <f t="shared" si="10"/>
        <v>9</v>
      </c>
      <c r="E330" t="s">
        <v>2</v>
      </c>
      <c r="F330" t="s">
        <v>3</v>
      </c>
      <c r="G330" t="s">
        <v>23</v>
      </c>
      <c r="H330" t="s">
        <v>159</v>
      </c>
      <c r="I330" t="s">
        <v>160</v>
      </c>
      <c r="J330" t="s">
        <v>161</v>
      </c>
      <c r="K330" t="s">
        <v>74</v>
      </c>
      <c r="L330" t="s">
        <v>809</v>
      </c>
      <c r="M330" t="s">
        <v>225</v>
      </c>
      <c r="N330" t="s">
        <v>11</v>
      </c>
      <c r="O330">
        <v>39</v>
      </c>
      <c r="P330" t="s">
        <v>54</v>
      </c>
      <c r="Q330" t="s">
        <v>327</v>
      </c>
      <c r="R330" t="s">
        <v>328</v>
      </c>
      <c r="S330" t="s">
        <v>136</v>
      </c>
      <c r="T330" t="s">
        <v>16</v>
      </c>
      <c r="U330">
        <v>2</v>
      </c>
      <c r="V330">
        <v>73</v>
      </c>
      <c r="W330">
        <v>160.6</v>
      </c>
      <c r="X330">
        <v>15</v>
      </c>
      <c r="Y330">
        <v>273.02</v>
      </c>
      <c r="Z330">
        <v>127.02</v>
      </c>
      <c r="AA330" t="s">
        <v>17</v>
      </c>
      <c r="AB330" t="s">
        <v>18</v>
      </c>
      <c r="AC330">
        <v>3</v>
      </c>
      <c r="AD330" t="s">
        <v>105</v>
      </c>
      <c r="AE330" t="s">
        <v>20</v>
      </c>
      <c r="AF330" t="str">
        <f t="shared" si="11"/>
        <v>Yes</v>
      </c>
    </row>
    <row r="331" spans="1:32" x14ac:dyDescent="0.3">
      <c r="A331" t="s">
        <v>810</v>
      </c>
      <c r="B331" s="1">
        <v>45660</v>
      </c>
      <c r="C331" t="s">
        <v>46</v>
      </c>
      <c r="D331">
        <f t="shared" si="10"/>
        <v>19</v>
      </c>
      <c r="E331" t="s">
        <v>2</v>
      </c>
      <c r="F331" t="s">
        <v>3</v>
      </c>
      <c r="G331" t="s">
        <v>40</v>
      </c>
      <c r="H331" t="s">
        <v>5</v>
      </c>
      <c r="I331" t="s">
        <v>6</v>
      </c>
      <c r="J331" t="s">
        <v>7</v>
      </c>
      <c r="K331" t="s">
        <v>83</v>
      </c>
      <c r="L331" t="s">
        <v>811</v>
      </c>
      <c r="M331" t="s">
        <v>184</v>
      </c>
      <c r="N331" t="s">
        <v>30</v>
      </c>
      <c r="O331">
        <v>54</v>
      </c>
      <c r="P331" t="s">
        <v>12</v>
      </c>
      <c r="Q331" t="s">
        <v>103</v>
      </c>
      <c r="R331" t="s">
        <v>104</v>
      </c>
      <c r="S331" t="s">
        <v>94</v>
      </c>
      <c r="T331" t="s">
        <v>35</v>
      </c>
      <c r="U331">
        <v>2</v>
      </c>
      <c r="V331">
        <v>57</v>
      </c>
      <c r="W331">
        <v>159.6</v>
      </c>
      <c r="X331">
        <v>5</v>
      </c>
      <c r="Y331">
        <v>303.24</v>
      </c>
      <c r="Z331">
        <v>189.24</v>
      </c>
      <c r="AA331" t="s">
        <v>36</v>
      </c>
      <c r="AB331" t="s">
        <v>44</v>
      </c>
      <c r="AC331">
        <v>5</v>
      </c>
      <c r="AD331" t="s">
        <v>19</v>
      </c>
      <c r="AE331" t="s">
        <v>95</v>
      </c>
      <c r="AF331" t="str">
        <f t="shared" si="11"/>
        <v>No</v>
      </c>
    </row>
    <row r="332" spans="1:32" x14ac:dyDescent="0.3">
      <c r="A332" t="s">
        <v>812</v>
      </c>
      <c r="B332" s="1">
        <v>45678</v>
      </c>
      <c r="C332" t="s">
        <v>71</v>
      </c>
      <c r="D332">
        <f t="shared" si="10"/>
        <v>10</v>
      </c>
      <c r="E332" t="s">
        <v>2</v>
      </c>
      <c r="F332" t="s">
        <v>3</v>
      </c>
      <c r="G332" t="s">
        <v>181</v>
      </c>
      <c r="H332" t="s">
        <v>164</v>
      </c>
      <c r="I332" t="s">
        <v>165</v>
      </c>
      <c r="J332" t="s">
        <v>166</v>
      </c>
      <c r="K332" t="s">
        <v>114</v>
      </c>
      <c r="L332" t="s">
        <v>108</v>
      </c>
      <c r="M332" t="s">
        <v>261</v>
      </c>
      <c r="N332" t="s">
        <v>30</v>
      </c>
      <c r="O332">
        <v>43</v>
      </c>
      <c r="P332" t="s">
        <v>31</v>
      </c>
      <c r="Q332" t="s">
        <v>252</v>
      </c>
      <c r="R332" t="s">
        <v>253</v>
      </c>
      <c r="S332" t="s">
        <v>178</v>
      </c>
      <c r="T332" t="s">
        <v>35</v>
      </c>
      <c r="U332">
        <v>2</v>
      </c>
      <c r="V332">
        <v>82</v>
      </c>
      <c r="W332">
        <v>205</v>
      </c>
      <c r="X332">
        <v>5</v>
      </c>
      <c r="Y332">
        <v>389.5</v>
      </c>
      <c r="Z332">
        <v>225.5</v>
      </c>
      <c r="AA332" t="s">
        <v>17</v>
      </c>
      <c r="AB332" t="s">
        <v>37</v>
      </c>
      <c r="AD332" t="s">
        <v>105</v>
      </c>
      <c r="AE332" t="s">
        <v>95</v>
      </c>
      <c r="AF332" t="str">
        <f t="shared" si="11"/>
        <v>No</v>
      </c>
    </row>
    <row r="333" spans="1:32" x14ac:dyDescent="0.3">
      <c r="A333" t="s">
        <v>813</v>
      </c>
      <c r="B333" s="1">
        <v>45795</v>
      </c>
      <c r="C333" t="s">
        <v>80</v>
      </c>
      <c r="D333">
        <f t="shared" si="10"/>
        <v>10</v>
      </c>
      <c r="E333" t="s">
        <v>47</v>
      </c>
      <c r="F333" t="s">
        <v>48</v>
      </c>
      <c r="G333" t="s">
        <v>4</v>
      </c>
      <c r="H333" t="s">
        <v>159</v>
      </c>
      <c r="I333" t="s">
        <v>160</v>
      </c>
      <c r="J333" t="s">
        <v>161</v>
      </c>
      <c r="K333" t="s">
        <v>352</v>
      </c>
      <c r="L333" t="s">
        <v>571</v>
      </c>
      <c r="M333" t="s">
        <v>162</v>
      </c>
      <c r="N333" t="s">
        <v>11</v>
      </c>
      <c r="O333">
        <v>64</v>
      </c>
      <c r="P333" t="s">
        <v>76</v>
      </c>
      <c r="Q333" t="s">
        <v>32</v>
      </c>
      <c r="R333" t="s">
        <v>33</v>
      </c>
      <c r="S333" t="s">
        <v>34</v>
      </c>
      <c r="T333" t="s">
        <v>35</v>
      </c>
      <c r="U333">
        <v>1</v>
      </c>
      <c r="V333">
        <v>83</v>
      </c>
      <c r="W333">
        <v>232.4</v>
      </c>
      <c r="X333">
        <v>0</v>
      </c>
      <c r="Y333">
        <v>232.4</v>
      </c>
      <c r="Z333">
        <v>149.4</v>
      </c>
      <c r="AA333" t="s">
        <v>69</v>
      </c>
      <c r="AB333" t="s">
        <v>129</v>
      </c>
      <c r="AC333">
        <v>5</v>
      </c>
      <c r="AD333" t="s">
        <v>19</v>
      </c>
      <c r="AE333" t="s">
        <v>20</v>
      </c>
      <c r="AF333" t="str">
        <f t="shared" si="11"/>
        <v>Yes</v>
      </c>
    </row>
    <row r="334" spans="1:32" x14ac:dyDescent="0.3">
      <c r="A334" t="s">
        <v>814</v>
      </c>
      <c r="B334" s="1">
        <v>45744</v>
      </c>
      <c r="C334" t="s">
        <v>71</v>
      </c>
      <c r="D334">
        <f t="shared" si="10"/>
        <v>10</v>
      </c>
      <c r="E334" t="s">
        <v>72</v>
      </c>
      <c r="F334" t="s">
        <v>3</v>
      </c>
      <c r="G334" t="s">
        <v>40</v>
      </c>
      <c r="H334" t="s">
        <v>99</v>
      </c>
      <c r="I334" t="s">
        <v>100</v>
      </c>
      <c r="J334" t="s">
        <v>101</v>
      </c>
      <c r="K334" t="s">
        <v>51</v>
      </c>
      <c r="L334" t="s">
        <v>804</v>
      </c>
      <c r="M334" t="s">
        <v>10</v>
      </c>
      <c r="N334" t="s">
        <v>30</v>
      </c>
      <c r="O334">
        <v>31</v>
      </c>
      <c r="P334" t="s">
        <v>31</v>
      </c>
      <c r="Q334" t="s">
        <v>240</v>
      </c>
      <c r="R334" t="s">
        <v>241</v>
      </c>
      <c r="S334" t="s">
        <v>242</v>
      </c>
      <c r="T334" t="s">
        <v>35</v>
      </c>
      <c r="U334">
        <v>4</v>
      </c>
      <c r="V334">
        <v>89</v>
      </c>
      <c r="W334">
        <v>267</v>
      </c>
      <c r="X334">
        <v>5</v>
      </c>
      <c r="Y334">
        <v>1014.6</v>
      </c>
      <c r="Z334">
        <v>658.6</v>
      </c>
      <c r="AA334" t="s">
        <v>36</v>
      </c>
      <c r="AB334" t="s">
        <v>119</v>
      </c>
      <c r="AC334">
        <v>4</v>
      </c>
      <c r="AD334" t="s">
        <v>105</v>
      </c>
      <c r="AE334" t="s">
        <v>20</v>
      </c>
      <c r="AF334" t="str">
        <f t="shared" si="11"/>
        <v>Yes</v>
      </c>
    </row>
    <row r="335" spans="1:32" x14ac:dyDescent="0.3">
      <c r="A335" t="s">
        <v>815</v>
      </c>
      <c r="B335" s="1">
        <v>45815</v>
      </c>
      <c r="C335" t="s">
        <v>399</v>
      </c>
      <c r="D335">
        <f t="shared" si="10"/>
        <v>20</v>
      </c>
      <c r="E335" t="s">
        <v>131</v>
      </c>
      <c r="F335" t="s">
        <v>48</v>
      </c>
      <c r="G335" t="s">
        <v>132</v>
      </c>
      <c r="H335" t="s">
        <v>122</v>
      </c>
      <c r="I335" t="s">
        <v>123</v>
      </c>
      <c r="J335" t="s">
        <v>7</v>
      </c>
      <c r="K335" t="s">
        <v>153</v>
      </c>
      <c r="L335" t="s">
        <v>816</v>
      </c>
      <c r="M335" t="s">
        <v>261</v>
      </c>
      <c r="N335" t="s">
        <v>30</v>
      </c>
      <c r="O335">
        <v>53</v>
      </c>
      <c r="P335" t="s">
        <v>12</v>
      </c>
      <c r="Q335" t="s">
        <v>436</v>
      </c>
      <c r="R335" t="s">
        <v>437</v>
      </c>
      <c r="S335" t="s">
        <v>178</v>
      </c>
      <c r="T335" t="s">
        <v>35</v>
      </c>
      <c r="U335">
        <v>1</v>
      </c>
      <c r="V335">
        <v>66</v>
      </c>
      <c r="W335">
        <v>165</v>
      </c>
      <c r="X335">
        <v>0</v>
      </c>
      <c r="Y335">
        <v>165</v>
      </c>
      <c r="Z335">
        <v>99</v>
      </c>
      <c r="AA335" t="s">
        <v>17</v>
      </c>
      <c r="AB335" t="s">
        <v>87</v>
      </c>
      <c r="AD335" t="s">
        <v>19</v>
      </c>
      <c r="AE335" t="s">
        <v>20</v>
      </c>
      <c r="AF335" t="str">
        <f t="shared" si="11"/>
        <v>Yes</v>
      </c>
    </row>
    <row r="336" spans="1:32" x14ac:dyDescent="0.3">
      <c r="A336" t="s">
        <v>817</v>
      </c>
      <c r="B336" s="1">
        <v>45716</v>
      </c>
      <c r="C336" t="s">
        <v>1</v>
      </c>
      <c r="D336">
        <f t="shared" si="10"/>
        <v>19</v>
      </c>
      <c r="E336" t="s">
        <v>145</v>
      </c>
      <c r="F336" t="s">
        <v>3</v>
      </c>
      <c r="G336" t="s">
        <v>40</v>
      </c>
      <c r="H336" t="s">
        <v>150</v>
      </c>
      <c r="I336" t="s">
        <v>151</v>
      </c>
      <c r="J336" t="s">
        <v>152</v>
      </c>
      <c r="K336" t="s">
        <v>83</v>
      </c>
      <c r="L336" t="s">
        <v>818</v>
      </c>
      <c r="M336" t="s">
        <v>162</v>
      </c>
      <c r="N336" t="s">
        <v>11</v>
      </c>
      <c r="O336">
        <v>57</v>
      </c>
      <c r="P336" t="s">
        <v>76</v>
      </c>
      <c r="Q336" t="s">
        <v>313</v>
      </c>
      <c r="R336" t="s">
        <v>314</v>
      </c>
      <c r="S336" t="s">
        <v>128</v>
      </c>
      <c r="T336" t="s">
        <v>35</v>
      </c>
      <c r="U336">
        <v>2</v>
      </c>
      <c r="V336">
        <v>81</v>
      </c>
      <c r="W336">
        <v>202.5</v>
      </c>
      <c r="X336">
        <v>0</v>
      </c>
      <c r="Y336">
        <v>405</v>
      </c>
      <c r="Z336">
        <v>243</v>
      </c>
      <c r="AA336" t="s">
        <v>43</v>
      </c>
      <c r="AB336" t="s">
        <v>119</v>
      </c>
      <c r="AC336">
        <v>4</v>
      </c>
      <c r="AD336" t="s">
        <v>19</v>
      </c>
      <c r="AE336" t="s">
        <v>20</v>
      </c>
      <c r="AF336" t="str">
        <f t="shared" si="11"/>
        <v>Yes</v>
      </c>
    </row>
    <row r="337" spans="1:32" x14ac:dyDescent="0.3">
      <c r="A337" t="s">
        <v>819</v>
      </c>
      <c r="B337" s="1">
        <v>45672</v>
      </c>
      <c r="C337" t="s">
        <v>516</v>
      </c>
      <c r="D337">
        <f t="shared" si="10"/>
        <v>16</v>
      </c>
      <c r="E337" t="s">
        <v>2</v>
      </c>
      <c r="F337" t="s">
        <v>3</v>
      </c>
      <c r="G337" t="s">
        <v>73</v>
      </c>
      <c r="H337" t="s">
        <v>122</v>
      </c>
      <c r="I337" t="s">
        <v>123</v>
      </c>
      <c r="J337" t="s">
        <v>7</v>
      </c>
      <c r="K337" t="s">
        <v>27</v>
      </c>
      <c r="L337" t="s">
        <v>168</v>
      </c>
      <c r="M337" t="s">
        <v>184</v>
      </c>
      <c r="N337" t="s">
        <v>30</v>
      </c>
      <c r="O337">
        <v>64</v>
      </c>
      <c r="P337" t="s">
        <v>12</v>
      </c>
      <c r="Q337" t="s">
        <v>605</v>
      </c>
      <c r="R337" t="s">
        <v>606</v>
      </c>
      <c r="S337" t="s">
        <v>237</v>
      </c>
      <c r="T337" t="s">
        <v>35</v>
      </c>
      <c r="U337">
        <v>2</v>
      </c>
      <c r="V337">
        <v>79</v>
      </c>
      <c r="W337">
        <v>173.8</v>
      </c>
      <c r="X337">
        <v>0</v>
      </c>
      <c r="Y337">
        <v>347.6</v>
      </c>
      <c r="Z337">
        <v>189.6</v>
      </c>
      <c r="AA337" t="s">
        <v>17</v>
      </c>
      <c r="AB337" t="s">
        <v>129</v>
      </c>
      <c r="AC337">
        <v>5</v>
      </c>
      <c r="AD337" t="s">
        <v>105</v>
      </c>
      <c r="AE337" t="s">
        <v>20</v>
      </c>
      <c r="AF337" t="str">
        <f t="shared" si="11"/>
        <v>Yes</v>
      </c>
    </row>
    <row r="338" spans="1:32" x14ac:dyDescent="0.3">
      <c r="A338" t="s">
        <v>820</v>
      </c>
      <c r="B338" s="1">
        <v>45669</v>
      </c>
      <c r="C338" t="s">
        <v>407</v>
      </c>
      <c r="D338">
        <f t="shared" si="10"/>
        <v>8</v>
      </c>
      <c r="E338" t="s">
        <v>2</v>
      </c>
      <c r="F338" t="s">
        <v>3</v>
      </c>
      <c r="G338" t="s">
        <v>4</v>
      </c>
      <c r="H338" t="s">
        <v>81</v>
      </c>
      <c r="I338" t="s">
        <v>82</v>
      </c>
      <c r="J338" t="s">
        <v>7</v>
      </c>
      <c r="K338" t="s">
        <v>51</v>
      </c>
      <c r="L338" t="s">
        <v>461</v>
      </c>
      <c r="M338" t="s">
        <v>53</v>
      </c>
      <c r="N338" t="s">
        <v>30</v>
      </c>
      <c r="O338">
        <v>44</v>
      </c>
      <c r="P338" t="s">
        <v>76</v>
      </c>
      <c r="Q338" t="s">
        <v>230</v>
      </c>
      <c r="R338" t="s">
        <v>231</v>
      </c>
      <c r="S338" t="s">
        <v>128</v>
      </c>
      <c r="T338" t="s">
        <v>35</v>
      </c>
      <c r="U338">
        <v>2</v>
      </c>
      <c r="V338">
        <v>62</v>
      </c>
      <c r="W338">
        <v>186</v>
      </c>
      <c r="X338">
        <v>10</v>
      </c>
      <c r="Y338">
        <v>334.8</v>
      </c>
      <c r="Z338">
        <v>210.8</v>
      </c>
      <c r="AA338" t="s">
        <v>17</v>
      </c>
      <c r="AB338" t="s">
        <v>87</v>
      </c>
      <c r="AC338">
        <v>4</v>
      </c>
      <c r="AD338" t="s">
        <v>19</v>
      </c>
      <c r="AE338" t="s">
        <v>20</v>
      </c>
      <c r="AF338" t="str">
        <f t="shared" si="11"/>
        <v>Yes</v>
      </c>
    </row>
    <row r="339" spans="1:32" x14ac:dyDescent="0.3">
      <c r="A339" t="s">
        <v>821</v>
      </c>
      <c r="B339" s="1">
        <v>45697</v>
      </c>
      <c r="C339" t="s">
        <v>337</v>
      </c>
      <c r="D339">
        <f t="shared" si="10"/>
        <v>17</v>
      </c>
      <c r="E339" t="s">
        <v>145</v>
      </c>
      <c r="F339" t="s">
        <v>3</v>
      </c>
      <c r="G339" t="s">
        <v>4</v>
      </c>
      <c r="H339" t="s">
        <v>24</v>
      </c>
      <c r="I339" t="s">
        <v>25</v>
      </c>
      <c r="J339" t="s">
        <v>26</v>
      </c>
      <c r="K339" t="s">
        <v>182</v>
      </c>
      <c r="L339" t="s">
        <v>765</v>
      </c>
      <c r="M339" t="s">
        <v>10</v>
      </c>
      <c r="N339" t="s">
        <v>30</v>
      </c>
      <c r="O339">
        <v>29</v>
      </c>
      <c r="P339" t="s">
        <v>54</v>
      </c>
      <c r="Q339" t="s">
        <v>204</v>
      </c>
      <c r="R339" t="s">
        <v>205</v>
      </c>
      <c r="S339" t="s">
        <v>118</v>
      </c>
      <c r="T339" t="s">
        <v>35</v>
      </c>
      <c r="U339">
        <v>4</v>
      </c>
      <c r="V339">
        <v>59</v>
      </c>
      <c r="W339">
        <v>177</v>
      </c>
      <c r="X339">
        <v>15</v>
      </c>
      <c r="Y339">
        <v>601.79999999999995</v>
      </c>
      <c r="Z339">
        <v>365.8</v>
      </c>
      <c r="AA339" t="s">
        <v>17</v>
      </c>
      <c r="AB339" t="s">
        <v>129</v>
      </c>
      <c r="AC339">
        <v>5</v>
      </c>
      <c r="AD339" t="s">
        <v>19</v>
      </c>
      <c r="AE339" t="s">
        <v>20</v>
      </c>
      <c r="AF339" t="str">
        <f t="shared" si="11"/>
        <v>Yes</v>
      </c>
    </row>
    <row r="340" spans="1:32" x14ac:dyDescent="0.3">
      <c r="A340" t="s">
        <v>822</v>
      </c>
      <c r="B340" s="1">
        <v>45693</v>
      </c>
      <c r="C340" t="s">
        <v>202</v>
      </c>
      <c r="D340">
        <f t="shared" si="10"/>
        <v>11</v>
      </c>
      <c r="E340" t="s">
        <v>145</v>
      </c>
      <c r="F340" t="s">
        <v>3</v>
      </c>
      <c r="G340" t="s">
        <v>73</v>
      </c>
      <c r="H340" t="s">
        <v>164</v>
      </c>
      <c r="I340" t="s">
        <v>165</v>
      </c>
      <c r="J340" t="s">
        <v>166</v>
      </c>
      <c r="K340" t="s">
        <v>107</v>
      </c>
      <c r="L340" t="s">
        <v>823</v>
      </c>
      <c r="M340" t="s">
        <v>184</v>
      </c>
      <c r="N340" t="s">
        <v>30</v>
      </c>
      <c r="O340">
        <v>48</v>
      </c>
      <c r="P340" t="s">
        <v>54</v>
      </c>
      <c r="Q340" t="s">
        <v>230</v>
      </c>
      <c r="R340" t="s">
        <v>231</v>
      </c>
      <c r="S340" t="s">
        <v>128</v>
      </c>
      <c r="T340" t="s">
        <v>35</v>
      </c>
      <c r="U340">
        <v>1</v>
      </c>
      <c r="V340">
        <v>62</v>
      </c>
      <c r="W340">
        <v>186</v>
      </c>
      <c r="X340">
        <v>0</v>
      </c>
      <c r="Y340">
        <v>186</v>
      </c>
      <c r="Z340">
        <v>124</v>
      </c>
      <c r="AA340" t="s">
        <v>69</v>
      </c>
      <c r="AB340" t="s">
        <v>37</v>
      </c>
      <c r="AC340">
        <v>3</v>
      </c>
      <c r="AD340" t="s">
        <v>105</v>
      </c>
      <c r="AE340" t="s">
        <v>20</v>
      </c>
      <c r="AF340" t="str">
        <f t="shared" si="11"/>
        <v>Yes</v>
      </c>
    </row>
    <row r="341" spans="1:32" x14ac:dyDescent="0.3">
      <c r="A341" t="s">
        <v>824</v>
      </c>
      <c r="B341" s="1">
        <v>45836</v>
      </c>
      <c r="C341" t="s">
        <v>214</v>
      </c>
      <c r="D341">
        <f t="shared" si="10"/>
        <v>7</v>
      </c>
      <c r="E341" t="s">
        <v>131</v>
      </c>
      <c r="F341" t="s">
        <v>48</v>
      </c>
      <c r="G341" t="s">
        <v>132</v>
      </c>
      <c r="H341" t="s">
        <v>61</v>
      </c>
      <c r="I341" t="s">
        <v>62</v>
      </c>
      <c r="J341" t="s">
        <v>7</v>
      </c>
      <c r="K341" t="s">
        <v>74</v>
      </c>
      <c r="L341" t="s">
        <v>825</v>
      </c>
      <c r="M341" t="s">
        <v>261</v>
      </c>
      <c r="N341" t="s">
        <v>30</v>
      </c>
      <c r="O341">
        <v>57</v>
      </c>
      <c r="P341" t="s">
        <v>54</v>
      </c>
      <c r="Q341" t="s">
        <v>155</v>
      </c>
      <c r="R341" t="s">
        <v>156</v>
      </c>
      <c r="S341" t="s">
        <v>34</v>
      </c>
      <c r="T341" t="s">
        <v>16</v>
      </c>
      <c r="U341">
        <v>1</v>
      </c>
      <c r="V341">
        <v>40</v>
      </c>
      <c r="W341">
        <v>100</v>
      </c>
      <c r="X341">
        <v>5</v>
      </c>
      <c r="Y341">
        <v>95</v>
      </c>
      <c r="Z341">
        <v>55</v>
      </c>
      <c r="AA341" t="s">
        <v>43</v>
      </c>
      <c r="AB341" t="s">
        <v>37</v>
      </c>
      <c r="AD341" t="s">
        <v>19</v>
      </c>
      <c r="AE341" t="s">
        <v>95</v>
      </c>
      <c r="AF341" t="str">
        <f t="shared" si="11"/>
        <v>No</v>
      </c>
    </row>
    <row r="342" spans="1:32" x14ac:dyDescent="0.3">
      <c r="A342" t="s">
        <v>826</v>
      </c>
      <c r="B342" s="1">
        <v>45756</v>
      </c>
      <c r="C342" t="s">
        <v>396</v>
      </c>
      <c r="D342">
        <f t="shared" si="10"/>
        <v>16</v>
      </c>
      <c r="E342" t="s">
        <v>60</v>
      </c>
      <c r="F342" t="s">
        <v>48</v>
      </c>
      <c r="G342" t="s">
        <v>73</v>
      </c>
      <c r="H342" t="s">
        <v>61</v>
      </c>
      <c r="I342" t="s">
        <v>62</v>
      </c>
      <c r="J342" t="s">
        <v>7</v>
      </c>
      <c r="K342" t="s">
        <v>352</v>
      </c>
      <c r="L342" t="s">
        <v>827</v>
      </c>
      <c r="M342" t="s">
        <v>162</v>
      </c>
      <c r="N342" t="s">
        <v>30</v>
      </c>
      <c r="O342">
        <v>26</v>
      </c>
      <c r="P342" t="s">
        <v>54</v>
      </c>
      <c r="Q342" t="s">
        <v>226</v>
      </c>
      <c r="R342" t="s">
        <v>227</v>
      </c>
      <c r="S342" t="s">
        <v>68</v>
      </c>
      <c r="T342" t="s">
        <v>35</v>
      </c>
      <c r="U342">
        <v>4</v>
      </c>
      <c r="V342">
        <v>43</v>
      </c>
      <c r="W342">
        <v>94.6</v>
      </c>
      <c r="X342">
        <v>0</v>
      </c>
      <c r="Y342">
        <v>378.4</v>
      </c>
      <c r="Z342">
        <v>206.4</v>
      </c>
      <c r="AA342" t="s">
        <v>43</v>
      </c>
      <c r="AB342" t="s">
        <v>87</v>
      </c>
      <c r="AC342">
        <v>5</v>
      </c>
      <c r="AD342" t="s">
        <v>19</v>
      </c>
      <c r="AE342" t="s">
        <v>20</v>
      </c>
      <c r="AF342" t="str">
        <f t="shared" si="11"/>
        <v>Yes</v>
      </c>
    </row>
    <row r="343" spans="1:32" x14ac:dyDescent="0.3">
      <c r="A343" t="s">
        <v>828</v>
      </c>
      <c r="B343" s="1">
        <v>45664</v>
      </c>
      <c r="C343" t="s">
        <v>829</v>
      </c>
      <c r="D343">
        <f t="shared" si="10"/>
        <v>14</v>
      </c>
      <c r="E343" t="s">
        <v>2</v>
      </c>
      <c r="F343" t="s">
        <v>3</v>
      </c>
      <c r="G343" t="s">
        <v>181</v>
      </c>
      <c r="H343" t="s">
        <v>122</v>
      </c>
      <c r="I343" t="s">
        <v>123</v>
      </c>
      <c r="J343" t="s">
        <v>7</v>
      </c>
      <c r="K343" t="s">
        <v>196</v>
      </c>
      <c r="L343" t="s">
        <v>830</v>
      </c>
      <c r="M343" t="s">
        <v>65</v>
      </c>
      <c r="N343" t="s">
        <v>30</v>
      </c>
      <c r="O343">
        <v>30</v>
      </c>
      <c r="P343" t="s">
        <v>31</v>
      </c>
      <c r="Q343" t="s">
        <v>211</v>
      </c>
      <c r="R343" t="s">
        <v>212</v>
      </c>
      <c r="S343" t="s">
        <v>128</v>
      </c>
      <c r="T343" t="s">
        <v>16</v>
      </c>
      <c r="U343">
        <v>2</v>
      </c>
      <c r="V343">
        <v>50</v>
      </c>
      <c r="W343">
        <v>140</v>
      </c>
      <c r="X343">
        <v>10</v>
      </c>
      <c r="Y343">
        <v>252</v>
      </c>
      <c r="Z343">
        <v>152</v>
      </c>
      <c r="AA343" t="s">
        <v>179</v>
      </c>
      <c r="AB343" t="s">
        <v>37</v>
      </c>
      <c r="AD343" t="s">
        <v>19</v>
      </c>
      <c r="AE343" t="s">
        <v>20</v>
      </c>
      <c r="AF343" t="str">
        <f t="shared" si="11"/>
        <v>Yes</v>
      </c>
    </row>
    <row r="344" spans="1:32" x14ac:dyDescent="0.3">
      <c r="A344" t="s">
        <v>831</v>
      </c>
      <c r="B344" s="1">
        <v>45791</v>
      </c>
      <c r="C344" t="s">
        <v>191</v>
      </c>
      <c r="D344">
        <f t="shared" si="10"/>
        <v>19</v>
      </c>
      <c r="E344" t="s">
        <v>47</v>
      </c>
      <c r="F344" t="s">
        <v>48</v>
      </c>
      <c r="G344" t="s">
        <v>73</v>
      </c>
      <c r="H344" t="s">
        <v>5</v>
      </c>
      <c r="I344" t="s">
        <v>6</v>
      </c>
      <c r="J344" t="s">
        <v>7</v>
      </c>
      <c r="K344" t="s">
        <v>114</v>
      </c>
      <c r="L344" t="s">
        <v>509</v>
      </c>
      <c r="M344" t="s">
        <v>53</v>
      </c>
      <c r="N344" t="s">
        <v>30</v>
      </c>
      <c r="O344">
        <v>60</v>
      </c>
      <c r="P344" t="s">
        <v>54</v>
      </c>
      <c r="Q344" t="s">
        <v>176</v>
      </c>
      <c r="R344" t="s">
        <v>177</v>
      </c>
      <c r="S344" t="s">
        <v>178</v>
      </c>
      <c r="T344" t="s">
        <v>16</v>
      </c>
      <c r="U344">
        <v>4</v>
      </c>
      <c r="V344">
        <v>56</v>
      </c>
      <c r="W344">
        <v>156.80000000000001</v>
      </c>
      <c r="X344">
        <v>0</v>
      </c>
      <c r="Y344">
        <v>627.20000000000005</v>
      </c>
      <c r="Z344">
        <v>403.2</v>
      </c>
      <c r="AA344" t="s">
        <v>17</v>
      </c>
      <c r="AB344" t="s">
        <v>37</v>
      </c>
      <c r="AD344" t="s">
        <v>105</v>
      </c>
      <c r="AE344" t="s">
        <v>20</v>
      </c>
      <c r="AF344" t="str">
        <f t="shared" si="11"/>
        <v>Yes</v>
      </c>
    </row>
    <row r="345" spans="1:32" x14ac:dyDescent="0.3">
      <c r="A345" t="s">
        <v>832</v>
      </c>
      <c r="B345" s="1">
        <v>45791</v>
      </c>
      <c r="C345" t="s">
        <v>345</v>
      </c>
      <c r="D345">
        <f t="shared" si="10"/>
        <v>18</v>
      </c>
      <c r="E345" t="s">
        <v>47</v>
      </c>
      <c r="F345" t="s">
        <v>48</v>
      </c>
      <c r="G345" t="s">
        <v>73</v>
      </c>
      <c r="H345" t="s">
        <v>122</v>
      </c>
      <c r="I345" t="s">
        <v>123</v>
      </c>
      <c r="J345" t="s">
        <v>7</v>
      </c>
      <c r="K345" t="s">
        <v>352</v>
      </c>
      <c r="L345" t="s">
        <v>752</v>
      </c>
      <c r="M345" t="s">
        <v>65</v>
      </c>
      <c r="N345" t="s">
        <v>30</v>
      </c>
      <c r="O345">
        <v>17</v>
      </c>
      <c r="P345" t="s">
        <v>76</v>
      </c>
      <c r="Q345" t="s">
        <v>116</v>
      </c>
      <c r="R345" t="s">
        <v>117</v>
      </c>
      <c r="S345" t="s">
        <v>118</v>
      </c>
      <c r="T345" t="s">
        <v>35</v>
      </c>
      <c r="U345">
        <v>3</v>
      </c>
      <c r="V345">
        <v>99</v>
      </c>
      <c r="W345">
        <v>277.2</v>
      </c>
      <c r="X345">
        <v>15</v>
      </c>
      <c r="Y345">
        <v>706.86</v>
      </c>
      <c r="Z345">
        <v>409.86</v>
      </c>
      <c r="AA345" t="s">
        <v>36</v>
      </c>
      <c r="AB345" t="s">
        <v>129</v>
      </c>
      <c r="AC345">
        <v>3</v>
      </c>
      <c r="AD345" t="s">
        <v>19</v>
      </c>
      <c r="AE345" t="s">
        <v>20</v>
      </c>
      <c r="AF345" t="str">
        <f t="shared" si="11"/>
        <v>Yes</v>
      </c>
    </row>
    <row r="346" spans="1:32" x14ac:dyDescent="0.3">
      <c r="A346" t="s">
        <v>833</v>
      </c>
      <c r="B346" s="1">
        <v>45765</v>
      </c>
      <c r="C346" t="s">
        <v>388</v>
      </c>
      <c r="D346">
        <f t="shared" si="10"/>
        <v>19</v>
      </c>
      <c r="E346" t="s">
        <v>60</v>
      </c>
      <c r="F346" t="s">
        <v>48</v>
      </c>
      <c r="G346" t="s">
        <v>40</v>
      </c>
      <c r="H346" t="s">
        <v>5</v>
      </c>
      <c r="I346" t="s">
        <v>6</v>
      </c>
      <c r="J346" t="s">
        <v>7</v>
      </c>
      <c r="K346" t="s">
        <v>27</v>
      </c>
      <c r="L346" t="s">
        <v>600</v>
      </c>
      <c r="M346" t="s">
        <v>184</v>
      </c>
      <c r="N346" t="s">
        <v>30</v>
      </c>
      <c r="O346">
        <v>40</v>
      </c>
      <c r="P346" t="s">
        <v>91</v>
      </c>
      <c r="Q346" t="s">
        <v>216</v>
      </c>
      <c r="R346" t="s">
        <v>217</v>
      </c>
      <c r="S346" t="s">
        <v>218</v>
      </c>
      <c r="T346" t="s">
        <v>35</v>
      </c>
      <c r="U346">
        <v>1</v>
      </c>
      <c r="V346">
        <v>67</v>
      </c>
      <c r="W346">
        <v>187.6</v>
      </c>
      <c r="X346">
        <v>5</v>
      </c>
      <c r="Y346">
        <v>178.22</v>
      </c>
      <c r="Z346">
        <v>111.22</v>
      </c>
      <c r="AA346" t="s">
        <v>17</v>
      </c>
      <c r="AB346" t="s">
        <v>87</v>
      </c>
      <c r="AC346">
        <v>4</v>
      </c>
      <c r="AD346" t="s">
        <v>105</v>
      </c>
      <c r="AE346" t="s">
        <v>20</v>
      </c>
      <c r="AF346" t="str">
        <f t="shared" si="11"/>
        <v>Yes</v>
      </c>
    </row>
    <row r="347" spans="1:32" x14ac:dyDescent="0.3">
      <c r="A347" t="s">
        <v>834</v>
      </c>
      <c r="B347" s="1">
        <v>45745</v>
      </c>
      <c r="C347" t="s">
        <v>265</v>
      </c>
      <c r="D347">
        <f t="shared" si="10"/>
        <v>7</v>
      </c>
      <c r="E347" t="s">
        <v>72</v>
      </c>
      <c r="F347" t="s">
        <v>3</v>
      </c>
      <c r="G347" t="s">
        <v>132</v>
      </c>
      <c r="H347" t="s">
        <v>81</v>
      </c>
      <c r="I347" t="s">
        <v>82</v>
      </c>
      <c r="J347" t="s">
        <v>7</v>
      </c>
      <c r="K347" t="s">
        <v>306</v>
      </c>
      <c r="L347" t="s">
        <v>835</v>
      </c>
      <c r="M347" t="s">
        <v>261</v>
      </c>
      <c r="N347" t="s">
        <v>11</v>
      </c>
      <c r="O347">
        <v>19</v>
      </c>
      <c r="P347" t="s">
        <v>91</v>
      </c>
      <c r="Q347" t="s">
        <v>204</v>
      </c>
      <c r="R347" t="s">
        <v>205</v>
      </c>
      <c r="S347" t="s">
        <v>118</v>
      </c>
      <c r="T347" t="s">
        <v>35</v>
      </c>
      <c r="U347">
        <v>2</v>
      </c>
      <c r="V347">
        <v>59</v>
      </c>
      <c r="W347">
        <v>177</v>
      </c>
      <c r="X347">
        <v>0</v>
      </c>
      <c r="Y347">
        <v>354</v>
      </c>
      <c r="Z347">
        <v>236</v>
      </c>
      <c r="AA347" t="s">
        <v>179</v>
      </c>
      <c r="AB347" t="s">
        <v>37</v>
      </c>
      <c r="AC347">
        <v>3</v>
      </c>
      <c r="AD347" t="s">
        <v>105</v>
      </c>
      <c r="AE347" t="s">
        <v>20</v>
      </c>
      <c r="AF347" t="str">
        <f t="shared" si="11"/>
        <v>Yes</v>
      </c>
    </row>
    <row r="348" spans="1:32" x14ac:dyDescent="0.3">
      <c r="A348" t="s">
        <v>836</v>
      </c>
      <c r="B348" s="1">
        <v>45694</v>
      </c>
      <c r="C348" t="s">
        <v>373</v>
      </c>
      <c r="D348">
        <f t="shared" si="10"/>
        <v>9</v>
      </c>
      <c r="E348" t="s">
        <v>145</v>
      </c>
      <c r="F348" t="s">
        <v>3</v>
      </c>
      <c r="G348" t="s">
        <v>98</v>
      </c>
      <c r="H348" t="s">
        <v>164</v>
      </c>
      <c r="I348" t="s">
        <v>165</v>
      </c>
      <c r="J348" t="s">
        <v>166</v>
      </c>
      <c r="K348" t="s">
        <v>74</v>
      </c>
      <c r="L348" t="s">
        <v>90</v>
      </c>
      <c r="M348" t="s">
        <v>29</v>
      </c>
      <c r="N348" t="s">
        <v>11</v>
      </c>
      <c r="O348">
        <v>62</v>
      </c>
      <c r="P348" t="s">
        <v>31</v>
      </c>
      <c r="Q348" t="s">
        <v>240</v>
      </c>
      <c r="R348" t="s">
        <v>241</v>
      </c>
      <c r="S348" t="s">
        <v>242</v>
      </c>
      <c r="T348" t="s">
        <v>35</v>
      </c>
      <c r="U348">
        <v>1</v>
      </c>
      <c r="V348">
        <v>89</v>
      </c>
      <c r="W348">
        <v>267</v>
      </c>
      <c r="X348">
        <v>10</v>
      </c>
      <c r="Y348">
        <v>240.3</v>
      </c>
      <c r="Z348">
        <v>151.30000000000001</v>
      </c>
      <c r="AA348" t="s">
        <v>17</v>
      </c>
      <c r="AB348" t="s">
        <v>18</v>
      </c>
      <c r="AD348" t="s">
        <v>105</v>
      </c>
      <c r="AE348" t="s">
        <v>20</v>
      </c>
      <c r="AF348" t="str">
        <f t="shared" si="11"/>
        <v>Yes</v>
      </c>
    </row>
    <row r="349" spans="1:32" x14ac:dyDescent="0.3">
      <c r="A349" t="s">
        <v>837</v>
      </c>
      <c r="B349" s="1">
        <v>45733</v>
      </c>
      <c r="C349" t="s">
        <v>537</v>
      </c>
      <c r="D349">
        <f t="shared" si="10"/>
        <v>8</v>
      </c>
      <c r="E349" t="s">
        <v>72</v>
      </c>
      <c r="F349" t="s">
        <v>3</v>
      </c>
      <c r="G349" t="s">
        <v>23</v>
      </c>
      <c r="H349" t="s">
        <v>150</v>
      </c>
      <c r="I349" t="s">
        <v>151</v>
      </c>
      <c r="J349" t="s">
        <v>152</v>
      </c>
      <c r="K349" t="s">
        <v>8</v>
      </c>
      <c r="L349" t="s">
        <v>477</v>
      </c>
      <c r="M349" t="s">
        <v>225</v>
      </c>
      <c r="N349" t="s">
        <v>30</v>
      </c>
      <c r="O349">
        <v>62</v>
      </c>
      <c r="P349" t="s">
        <v>54</v>
      </c>
      <c r="Q349" t="s">
        <v>103</v>
      </c>
      <c r="R349" t="s">
        <v>104</v>
      </c>
      <c r="S349" t="s">
        <v>94</v>
      </c>
      <c r="T349" t="s">
        <v>35</v>
      </c>
      <c r="U349">
        <v>1</v>
      </c>
      <c r="V349">
        <v>57</v>
      </c>
      <c r="W349">
        <v>159.6</v>
      </c>
      <c r="X349">
        <v>15</v>
      </c>
      <c r="Y349">
        <v>135.66</v>
      </c>
      <c r="Z349">
        <v>78.66</v>
      </c>
      <c r="AA349" t="s">
        <v>36</v>
      </c>
      <c r="AB349" t="s">
        <v>44</v>
      </c>
      <c r="AC349">
        <v>5</v>
      </c>
      <c r="AD349" t="s">
        <v>105</v>
      </c>
      <c r="AE349" t="s">
        <v>20</v>
      </c>
      <c r="AF349" t="str">
        <f t="shared" si="11"/>
        <v>Yes</v>
      </c>
    </row>
    <row r="350" spans="1:32" x14ac:dyDescent="0.3">
      <c r="A350" t="s">
        <v>838</v>
      </c>
      <c r="B350" s="1">
        <v>45747</v>
      </c>
      <c r="C350" t="s">
        <v>537</v>
      </c>
      <c r="D350">
        <f t="shared" si="10"/>
        <v>8</v>
      </c>
      <c r="E350" t="s">
        <v>72</v>
      </c>
      <c r="F350" t="s">
        <v>3</v>
      </c>
      <c r="G350" t="s">
        <v>23</v>
      </c>
      <c r="H350" t="s">
        <v>159</v>
      </c>
      <c r="I350" t="s">
        <v>160</v>
      </c>
      <c r="J350" t="s">
        <v>161</v>
      </c>
      <c r="K350" t="s">
        <v>114</v>
      </c>
      <c r="L350" t="s">
        <v>806</v>
      </c>
      <c r="M350" t="s">
        <v>65</v>
      </c>
      <c r="N350" t="s">
        <v>11</v>
      </c>
      <c r="O350">
        <v>59</v>
      </c>
      <c r="P350" t="s">
        <v>12</v>
      </c>
      <c r="Q350" t="s">
        <v>364</v>
      </c>
      <c r="R350" t="s">
        <v>365</v>
      </c>
      <c r="S350" t="s">
        <v>187</v>
      </c>
      <c r="T350" t="s">
        <v>35</v>
      </c>
      <c r="U350">
        <v>4</v>
      </c>
      <c r="V350">
        <v>28</v>
      </c>
      <c r="W350">
        <v>84</v>
      </c>
      <c r="X350">
        <v>0</v>
      </c>
      <c r="Y350">
        <v>336</v>
      </c>
      <c r="Z350">
        <v>224</v>
      </c>
      <c r="AA350" t="s">
        <v>36</v>
      </c>
      <c r="AB350" t="s">
        <v>119</v>
      </c>
      <c r="AC350">
        <v>5</v>
      </c>
      <c r="AD350" t="s">
        <v>19</v>
      </c>
      <c r="AE350" t="s">
        <v>20</v>
      </c>
      <c r="AF350" t="str">
        <f t="shared" si="11"/>
        <v>Yes</v>
      </c>
    </row>
    <row r="351" spans="1:32" x14ac:dyDescent="0.3">
      <c r="A351" t="s">
        <v>839</v>
      </c>
      <c r="B351" s="1">
        <v>45760</v>
      </c>
      <c r="C351" t="s">
        <v>1</v>
      </c>
      <c r="D351">
        <f t="shared" si="10"/>
        <v>19</v>
      </c>
      <c r="E351" t="s">
        <v>60</v>
      </c>
      <c r="F351" t="s">
        <v>48</v>
      </c>
      <c r="G351" t="s">
        <v>4</v>
      </c>
      <c r="H351" t="s">
        <v>150</v>
      </c>
      <c r="I351" t="s">
        <v>151</v>
      </c>
      <c r="J351" t="s">
        <v>152</v>
      </c>
      <c r="K351" t="s">
        <v>74</v>
      </c>
      <c r="L351" t="s">
        <v>748</v>
      </c>
      <c r="M351" t="s">
        <v>10</v>
      </c>
      <c r="N351" t="s">
        <v>11</v>
      </c>
      <c r="O351">
        <v>60</v>
      </c>
      <c r="P351" t="s">
        <v>54</v>
      </c>
      <c r="Q351" t="s">
        <v>226</v>
      </c>
      <c r="R351" t="s">
        <v>227</v>
      </c>
      <c r="S351" t="s">
        <v>68</v>
      </c>
      <c r="T351" t="s">
        <v>35</v>
      </c>
      <c r="U351">
        <v>4</v>
      </c>
      <c r="V351">
        <v>43</v>
      </c>
      <c r="W351">
        <v>94.6</v>
      </c>
      <c r="X351">
        <v>5</v>
      </c>
      <c r="Y351">
        <v>359.48</v>
      </c>
      <c r="Z351">
        <v>187.48</v>
      </c>
      <c r="AA351" t="s">
        <v>179</v>
      </c>
      <c r="AB351" t="s">
        <v>119</v>
      </c>
      <c r="AD351" t="s">
        <v>105</v>
      </c>
      <c r="AE351" t="s">
        <v>95</v>
      </c>
      <c r="AF351" t="str">
        <f t="shared" si="11"/>
        <v>No</v>
      </c>
    </row>
    <row r="352" spans="1:32" x14ac:dyDescent="0.3">
      <c r="A352" t="s">
        <v>840</v>
      </c>
      <c r="B352" s="1">
        <v>45788</v>
      </c>
      <c r="C352" t="s">
        <v>39</v>
      </c>
      <c r="D352">
        <f t="shared" si="10"/>
        <v>18</v>
      </c>
      <c r="E352" t="s">
        <v>47</v>
      </c>
      <c r="F352" t="s">
        <v>48</v>
      </c>
      <c r="G352" t="s">
        <v>4</v>
      </c>
      <c r="H352" t="s">
        <v>61</v>
      </c>
      <c r="I352" t="s">
        <v>62</v>
      </c>
      <c r="J352" t="s">
        <v>7</v>
      </c>
      <c r="K352" t="s">
        <v>63</v>
      </c>
      <c r="L352" t="s">
        <v>528</v>
      </c>
      <c r="M352" t="s">
        <v>10</v>
      </c>
      <c r="N352" t="s">
        <v>30</v>
      </c>
      <c r="O352">
        <v>51</v>
      </c>
      <c r="P352" t="s">
        <v>76</v>
      </c>
      <c r="Q352" t="s">
        <v>185</v>
      </c>
      <c r="R352" t="s">
        <v>186</v>
      </c>
      <c r="S352" t="s">
        <v>187</v>
      </c>
      <c r="T352" t="s">
        <v>35</v>
      </c>
      <c r="U352">
        <v>2</v>
      </c>
      <c r="V352">
        <v>57</v>
      </c>
      <c r="W352">
        <v>159.6</v>
      </c>
      <c r="X352">
        <v>5</v>
      </c>
      <c r="Y352">
        <v>303.24</v>
      </c>
      <c r="Z352">
        <v>189.24</v>
      </c>
      <c r="AA352" t="s">
        <v>179</v>
      </c>
      <c r="AB352" t="s">
        <v>119</v>
      </c>
      <c r="AC352">
        <v>4</v>
      </c>
      <c r="AD352" t="s">
        <v>105</v>
      </c>
      <c r="AE352" t="s">
        <v>95</v>
      </c>
      <c r="AF352" t="str">
        <f t="shared" si="11"/>
        <v>No</v>
      </c>
    </row>
    <row r="353" spans="1:32" x14ac:dyDescent="0.3">
      <c r="A353" t="s">
        <v>841</v>
      </c>
      <c r="B353" s="1">
        <v>45763</v>
      </c>
      <c r="C353" t="s">
        <v>214</v>
      </c>
      <c r="D353">
        <f t="shared" si="10"/>
        <v>7</v>
      </c>
      <c r="E353" t="s">
        <v>60</v>
      </c>
      <c r="F353" t="s">
        <v>48</v>
      </c>
      <c r="G353" t="s">
        <v>73</v>
      </c>
      <c r="H353" t="s">
        <v>49</v>
      </c>
      <c r="I353" t="s">
        <v>50</v>
      </c>
      <c r="J353" t="s">
        <v>7</v>
      </c>
      <c r="K353" t="s">
        <v>124</v>
      </c>
      <c r="L353" t="s">
        <v>842</v>
      </c>
      <c r="M353" t="s">
        <v>169</v>
      </c>
      <c r="N353" t="s">
        <v>11</v>
      </c>
      <c r="O353">
        <v>31</v>
      </c>
      <c r="P353" t="s">
        <v>31</v>
      </c>
      <c r="Q353" t="s">
        <v>32</v>
      </c>
      <c r="R353" t="s">
        <v>33</v>
      </c>
      <c r="S353" t="s">
        <v>34</v>
      </c>
      <c r="T353" t="s">
        <v>35</v>
      </c>
      <c r="U353">
        <v>2</v>
      </c>
      <c r="V353">
        <v>83</v>
      </c>
      <c r="W353">
        <v>232.4</v>
      </c>
      <c r="X353">
        <v>10</v>
      </c>
      <c r="Y353">
        <v>418.32</v>
      </c>
      <c r="Z353">
        <v>252.32</v>
      </c>
      <c r="AA353" t="s">
        <v>17</v>
      </c>
      <c r="AB353" t="s">
        <v>18</v>
      </c>
      <c r="AC353">
        <v>4</v>
      </c>
      <c r="AD353" t="s">
        <v>19</v>
      </c>
      <c r="AE353" t="s">
        <v>20</v>
      </c>
      <c r="AF353" t="str">
        <f t="shared" si="11"/>
        <v>Yes</v>
      </c>
    </row>
    <row r="354" spans="1:32" x14ac:dyDescent="0.3">
      <c r="A354" t="s">
        <v>843</v>
      </c>
      <c r="B354" s="1">
        <v>45815</v>
      </c>
      <c r="C354" t="s">
        <v>537</v>
      </c>
      <c r="D354">
        <f t="shared" si="10"/>
        <v>8</v>
      </c>
      <c r="E354" t="s">
        <v>131</v>
      </c>
      <c r="F354" t="s">
        <v>48</v>
      </c>
      <c r="G354" t="s">
        <v>132</v>
      </c>
      <c r="H354" t="s">
        <v>61</v>
      </c>
      <c r="I354" t="s">
        <v>62</v>
      </c>
      <c r="J354" t="s">
        <v>7</v>
      </c>
      <c r="K354" t="s">
        <v>41</v>
      </c>
      <c r="L354" t="s">
        <v>676</v>
      </c>
      <c r="M354" t="s">
        <v>140</v>
      </c>
      <c r="N354" t="s">
        <v>30</v>
      </c>
      <c r="O354">
        <v>27</v>
      </c>
      <c r="P354" t="s">
        <v>91</v>
      </c>
      <c r="Q354" t="s">
        <v>216</v>
      </c>
      <c r="R354" t="s">
        <v>217</v>
      </c>
      <c r="S354" t="s">
        <v>218</v>
      </c>
      <c r="T354" t="s">
        <v>35</v>
      </c>
      <c r="U354">
        <v>4</v>
      </c>
      <c r="V354">
        <v>67</v>
      </c>
      <c r="W354">
        <v>187.6</v>
      </c>
      <c r="X354">
        <v>10</v>
      </c>
      <c r="Y354">
        <v>675.36</v>
      </c>
      <c r="Z354">
        <v>407.36</v>
      </c>
      <c r="AA354" t="s">
        <v>17</v>
      </c>
      <c r="AB354" t="s">
        <v>44</v>
      </c>
      <c r="AC354">
        <v>3</v>
      </c>
      <c r="AD354" t="s">
        <v>19</v>
      </c>
      <c r="AE354" t="s">
        <v>20</v>
      </c>
      <c r="AF354" t="str">
        <f t="shared" si="11"/>
        <v>Yes</v>
      </c>
    </row>
    <row r="355" spans="1:32" x14ac:dyDescent="0.3">
      <c r="A355" t="s">
        <v>844</v>
      </c>
      <c r="B355" s="1">
        <v>45659</v>
      </c>
      <c r="C355" t="s">
        <v>121</v>
      </c>
      <c r="D355">
        <f t="shared" si="10"/>
        <v>9</v>
      </c>
      <c r="E355" t="s">
        <v>2</v>
      </c>
      <c r="F355" t="s">
        <v>3</v>
      </c>
      <c r="G355" t="s">
        <v>98</v>
      </c>
      <c r="H355" t="s">
        <v>99</v>
      </c>
      <c r="I355" t="s">
        <v>100</v>
      </c>
      <c r="J355" t="s">
        <v>101</v>
      </c>
      <c r="K355" t="s">
        <v>196</v>
      </c>
      <c r="L355" t="s">
        <v>845</v>
      </c>
      <c r="M355" t="s">
        <v>29</v>
      </c>
      <c r="N355" t="s">
        <v>11</v>
      </c>
      <c r="O355">
        <v>41</v>
      </c>
      <c r="P355" t="s">
        <v>54</v>
      </c>
      <c r="Q355" t="s">
        <v>155</v>
      </c>
      <c r="R355" t="s">
        <v>156</v>
      </c>
      <c r="S355" t="s">
        <v>34</v>
      </c>
      <c r="T355" t="s">
        <v>16</v>
      </c>
      <c r="U355">
        <v>1</v>
      </c>
      <c r="V355">
        <v>40</v>
      </c>
      <c r="W355">
        <v>100</v>
      </c>
      <c r="X355">
        <v>5</v>
      </c>
      <c r="Y355">
        <v>95</v>
      </c>
      <c r="Z355">
        <v>55</v>
      </c>
      <c r="AA355" t="s">
        <v>17</v>
      </c>
      <c r="AB355" t="s">
        <v>37</v>
      </c>
      <c r="AC355">
        <v>3</v>
      </c>
      <c r="AD355" t="s">
        <v>105</v>
      </c>
      <c r="AE355" t="s">
        <v>20</v>
      </c>
      <c r="AF355" t="str">
        <f t="shared" si="11"/>
        <v>Yes</v>
      </c>
    </row>
    <row r="356" spans="1:32" x14ac:dyDescent="0.3">
      <c r="A356" t="s">
        <v>846</v>
      </c>
      <c r="B356" s="1">
        <v>45745</v>
      </c>
      <c r="C356" t="s">
        <v>568</v>
      </c>
      <c r="D356">
        <f t="shared" si="10"/>
        <v>11</v>
      </c>
      <c r="E356" t="s">
        <v>72</v>
      </c>
      <c r="F356" t="s">
        <v>3</v>
      </c>
      <c r="G356" t="s">
        <v>132</v>
      </c>
      <c r="H356" t="s">
        <v>24</v>
      </c>
      <c r="I356" t="s">
        <v>25</v>
      </c>
      <c r="J356" t="s">
        <v>26</v>
      </c>
      <c r="K356" t="s">
        <v>41</v>
      </c>
      <c r="L356" t="s">
        <v>699</v>
      </c>
      <c r="M356" t="s">
        <v>65</v>
      </c>
      <c r="N356" t="s">
        <v>30</v>
      </c>
      <c r="O356">
        <v>40</v>
      </c>
      <c r="P356" t="s">
        <v>91</v>
      </c>
      <c r="Q356" t="s">
        <v>193</v>
      </c>
      <c r="R356" t="s">
        <v>194</v>
      </c>
      <c r="S356" t="s">
        <v>172</v>
      </c>
      <c r="T356" t="s">
        <v>35</v>
      </c>
      <c r="U356">
        <v>4</v>
      </c>
      <c r="V356">
        <v>35</v>
      </c>
      <c r="W356">
        <v>87.5</v>
      </c>
      <c r="X356">
        <v>0</v>
      </c>
      <c r="Y356">
        <v>350</v>
      </c>
      <c r="Z356">
        <v>210</v>
      </c>
      <c r="AA356" t="s">
        <v>17</v>
      </c>
      <c r="AB356" t="s">
        <v>37</v>
      </c>
      <c r="AC356">
        <v>3</v>
      </c>
      <c r="AD356" t="s">
        <v>105</v>
      </c>
      <c r="AE356" t="s">
        <v>95</v>
      </c>
      <c r="AF356" t="str">
        <f t="shared" si="11"/>
        <v>No</v>
      </c>
    </row>
    <row r="357" spans="1:32" x14ac:dyDescent="0.3">
      <c r="A357" t="s">
        <v>847</v>
      </c>
      <c r="B357" s="1">
        <v>45776</v>
      </c>
      <c r="C357" t="s">
        <v>191</v>
      </c>
      <c r="D357">
        <f t="shared" si="10"/>
        <v>19</v>
      </c>
      <c r="E357" t="s">
        <v>60</v>
      </c>
      <c r="F357" t="s">
        <v>48</v>
      </c>
      <c r="G357" t="s">
        <v>181</v>
      </c>
      <c r="H357" t="s">
        <v>24</v>
      </c>
      <c r="I357" t="s">
        <v>25</v>
      </c>
      <c r="J357" t="s">
        <v>26</v>
      </c>
      <c r="K357" t="s">
        <v>138</v>
      </c>
      <c r="L357" t="s">
        <v>776</v>
      </c>
      <c r="M357" t="s">
        <v>65</v>
      </c>
      <c r="N357" t="s">
        <v>30</v>
      </c>
      <c r="O357">
        <v>46</v>
      </c>
      <c r="P357" t="s">
        <v>76</v>
      </c>
      <c r="Q357" t="s">
        <v>605</v>
      </c>
      <c r="R357" t="s">
        <v>606</v>
      </c>
      <c r="S357" t="s">
        <v>237</v>
      </c>
      <c r="T357" t="s">
        <v>35</v>
      </c>
      <c r="U357">
        <v>1</v>
      </c>
      <c r="V357">
        <v>79</v>
      </c>
      <c r="W357">
        <v>173.8</v>
      </c>
      <c r="X357">
        <v>10</v>
      </c>
      <c r="Y357">
        <v>156.41999999999999</v>
      </c>
      <c r="Z357">
        <v>77.42</v>
      </c>
      <c r="AA357" t="s">
        <v>36</v>
      </c>
      <c r="AB357" t="s">
        <v>87</v>
      </c>
      <c r="AD357" t="s">
        <v>19</v>
      </c>
      <c r="AE357" t="s">
        <v>20</v>
      </c>
      <c r="AF357" t="str">
        <f t="shared" si="11"/>
        <v>Yes</v>
      </c>
    </row>
    <row r="358" spans="1:32" x14ac:dyDescent="0.3">
      <c r="A358" t="s">
        <v>848</v>
      </c>
      <c r="B358" s="1">
        <v>45725</v>
      </c>
      <c r="C358" t="s">
        <v>259</v>
      </c>
      <c r="D358">
        <f t="shared" si="10"/>
        <v>18</v>
      </c>
      <c r="E358" t="s">
        <v>72</v>
      </c>
      <c r="F358" t="s">
        <v>3</v>
      </c>
      <c r="G358" t="s">
        <v>4</v>
      </c>
      <c r="H358" t="s">
        <v>159</v>
      </c>
      <c r="I358" t="s">
        <v>160</v>
      </c>
      <c r="J358" t="s">
        <v>161</v>
      </c>
      <c r="K358" t="s">
        <v>311</v>
      </c>
      <c r="L358" t="s">
        <v>448</v>
      </c>
      <c r="M358" t="s">
        <v>53</v>
      </c>
      <c r="N358" t="s">
        <v>11</v>
      </c>
      <c r="O358">
        <v>21</v>
      </c>
      <c r="P358" t="s">
        <v>76</v>
      </c>
      <c r="Q358" t="s">
        <v>170</v>
      </c>
      <c r="R358" t="s">
        <v>171</v>
      </c>
      <c r="S358" t="s">
        <v>172</v>
      </c>
      <c r="T358" t="s">
        <v>35</v>
      </c>
      <c r="U358">
        <v>4</v>
      </c>
      <c r="V358">
        <v>72</v>
      </c>
      <c r="W358">
        <v>216</v>
      </c>
      <c r="X358">
        <v>10</v>
      </c>
      <c r="Y358">
        <v>777.6</v>
      </c>
      <c r="Z358">
        <v>489.6</v>
      </c>
      <c r="AA358" t="s">
        <v>36</v>
      </c>
      <c r="AB358" t="s">
        <v>119</v>
      </c>
      <c r="AC358">
        <v>4</v>
      </c>
      <c r="AD358" t="s">
        <v>105</v>
      </c>
      <c r="AE358" t="s">
        <v>20</v>
      </c>
      <c r="AF358" t="str">
        <f t="shared" si="11"/>
        <v>Yes</v>
      </c>
    </row>
    <row r="359" spans="1:32" x14ac:dyDescent="0.3">
      <c r="A359" t="s">
        <v>849</v>
      </c>
      <c r="B359" s="1">
        <v>45777</v>
      </c>
      <c r="C359" t="s">
        <v>113</v>
      </c>
      <c r="D359">
        <f t="shared" si="10"/>
        <v>8</v>
      </c>
      <c r="E359" t="s">
        <v>60</v>
      </c>
      <c r="F359" t="s">
        <v>48</v>
      </c>
      <c r="G359" t="s">
        <v>73</v>
      </c>
      <c r="H359" t="s">
        <v>24</v>
      </c>
      <c r="I359" t="s">
        <v>25</v>
      </c>
      <c r="J359" t="s">
        <v>26</v>
      </c>
      <c r="K359" t="s">
        <v>138</v>
      </c>
      <c r="L359" t="s">
        <v>691</v>
      </c>
      <c r="M359" t="s">
        <v>162</v>
      </c>
      <c r="N359" t="s">
        <v>11</v>
      </c>
      <c r="O359">
        <v>32</v>
      </c>
      <c r="P359" t="s">
        <v>12</v>
      </c>
      <c r="Q359" t="s">
        <v>291</v>
      </c>
      <c r="R359" t="s">
        <v>292</v>
      </c>
      <c r="S359" t="s">
        <v>242</v>
      </c>
      <c r="T359" t="s">
        <v>16</v>
      </c>
      <c r="U359">
        <v>2</v>
      </c>
      <c r="V359">
        <v>68</v>
      </c>
      <c r="W359">
        <v>204</v>
      </c>
      <c r="X359">
        <v>15</v>
      </c>
      <c r="Y359">
        <v>346.8</v>
      </c>
      <c r="Z359">
        <v>210.8</v>
      </c>
      <c r="AA359" t="s">
        <v>43</v>
      </c>
      <c r="AB359" t="s">
        <v>87</v>
      </c>
      <c r="AC359">
        <v>3</v>
      </c>
      <c r="AD359" t="s">
        <v>19</v>
      </c>
      <c r="AE359" t="s">
        <v>20</v>
      </c>
      <c r="AF359" t="str">
        <f t="shared" si="11"/>
        <v>Yes</v>
      </c>
    </row>
    <row r="360" spans="1:32" x14ac:dyDescent="0.3">
      <c r="A360" t="s">
        <v>850</v>
      </c>
      <c r="B360" s="1">
        <v>45715</v>
      </c>
      <c r="C360" t="s">
        <v>537</v>
      </c>
      <c r="D360">
        <f t="shared" si="10"/>
        <v>8</v>
      </c>
      <c r="E360" t="s">
        <v>145</v>
      </c>
      <c r="F360" t="s">
        <v>3</v>
      </c>
      <c r="G360" t="s">
        <v>98</v>
      </c>
      <c r="H360" t="s">
        <v>81</v>
      </c>
      <c r="I360" t="s">
        <v>82</v>
      </c>
      <c r="J360" t="s">
        <v>7</v>
      </c>
      <c r="K360" t="s">
        <v>245</v>
      </c>
      <c r="L360" t="s">
        <v>851</v>
      </c>
      <c r="M360" t="s">
        <v>184</v>
      </c>
      <c r="N360" t="s">
        <v>30</v>
      </c>
      <c r="O360">
        <v>44</v>
      </c>
      <c r="P360" t="s">
        <v>91</v>
      </c>
      <c r="Q360" t="s">
        <v>92</v>
      </c>
      <c r="R360" t="s">
        <v>93</v>
      </c>
      <c r="S360" t="s">
        <v>94</v>
      </c>
      <c r="T360" t="s">
        <v>16</v>
      </c>
      <c r="U360">
        <v>4</v>
      </c>
      <c r="V360">
        <v>85</v>
      </c>
      <c r="W360">
        <v>255</v>
      </c>
      <c r="X360">
        <v>0</v>
      </c>
      <c r="Y360">
        <v>1020</v>
      </c>
      <c r="Z360">
        <v>680</v>
      </c>
      <c r="AA360" t="s">
        <v>179</v>
      </c>
      <c r="AB360" t="s">
        <v>18</v>
      </c>
      <c r="AC360">
        <v>3</v>
      </c>
      <c r="AD360" t="s">
        <v>105</v>
      </c>
      <c r="AE360" t="s">
        <v>95</v>
      </c>
      <c r="AF360" t="str">
        <f t="shared" si="11"/>
        <v>No</v>
      </c>
    </row>
    <row r="361" spans="1:32" x14ac:dyDescent="0.3">
      <c r="A361" t="s">
        <v>852</v>
      </c>
      <c r="B361" s="1">
        <v>45681</v>
      </c>
      <c r="C361" t="s">
        <v>546</v>
      </c>
      <c r="D361">
        <f t="shared" si="10"/>
        <v>21</v>
      </c>
      <c r="E361" t="s">
        <v>2</v>
      </c>
      <c r="F361" t="s">
        <v>3</v>
      </c>
      <c r="G361" t="s">
        <v>40</v>
      </c>
      <c r="H361" t="s">
        <v>159</v>
      </c>
      <c r="I361" t="s">
        <v>160</v>
      </c>
      <c r="J361" t="s">
        <v>161</v>
      </c>
      <c r="K361" t="s">
        <v>306</v>
      </c>
      <c r="L361" t="s">
        <v>668</v>
      </c>
      <c r="M361" t="s">
        <v>140</v>
      </c>
      <c r="N361" t="s">
        <v>30</v>
      </c>
      <c r="O361">
        <v>48</v>
      </c>
      <c r="P361" t="s">
        <v>54</v>
      </c>
      <c r="Q361" t="s">
        <v>216</v>
      </c>
      <c r="R361" t="s">
        <v>217</v>
      </c>
      <c r="S361" t="s">
        <v>218</v>
      </c>
      <c r="T361" t="s">
        <v>35</v>
      </c>
      <c r="U361">
        <v>4</v>
      </c>
      <c r="V361">
        <v>67</v>
      </c>
      <c r="W361">
        <v>187.6</v>
      </c>
      <c r="X361">
        <v>15</v>
      </c>
      <c r="Y361">
        <v>637.84</v>
      </c>
      <c r="Z361">
        <v>369.84</v>
      </c>
      <c r="AA361" t="s">
        <v>43</v>
      </c>
      <c r="AB361" t="s">
        <v>87</v>
      </c>
      <c r="AC361">
        <v>4</v>
      </c>
      <c r="AD361" t="s">
        <v>105</v>
      </c>
      <c r="AE361" t="s">
        <v>20</v>
      </c>
      <c r="AF361" t="str">
        <f t="shared" si="11"/>
        <v>Yes</v>
      </c>
    </row>
    <row r="362" spans="1:32" x14ac:dyDescent="0.3">
      <c r="A362" t="s">
        <v>853</v>
      </c>
      <c r="B362" s="1">
        <v>45731</v>
      </c>
      <c r="C362" t="s">
        <v>189</v>
      </c>
      <c r="D362">
        <f t="shared" si="10"/>
        <v>9</v>
      </c>
      <c r="E362" t="s">
        <v>72</v>
      </c>
      <c r="F362" t="s">
        <v>3</v>
      </c>
      <c r="G362" t="s">
        <v>132</v>
      </c>
      <c r="H362" t="s">
        <v>61</v>
      </c>
      <c r="I362" t="s">
        <v>62</v>
      </c>
      <c r="J362" t="s">
        <v>7</v>
      </c>
      <c r="K362" t="s">
        <v>124</v>
      </c>
      <c r="L362" t="s">
        <v>842</v>
      </c>
      <c r="M362" t="s">
        <v>65</v>
      </c>
      <c r="N362" t="s">
        <v>30</v>
      </c>
      <c r="O362">
        <v>25</v>
      </c>
      <c r="P362" t="s">
        <v>54</v>
      </c>
      <c r="Q362" t="s">
        <v>431</v>
      </c>
      <c r="R362" t="s">
        <v>432</v>
      </c>
      <c r="S362" t="s">
        <v>172</v>
      </c>
      <c r="T362" t="s">
        <v>35</v>
      </c>
      <c r="U362">
        <v>1</v>
      </c>
      <c r="V362">
        <v>77</v>
      </c>
      <c r="W362">
        <v>192.5</v>
      </c>
      <c r="X362">
        <v>0</v>
      </c>
      <c r="Y362">
        <v>192.5</v>
      </c>
      <c r="Z362">
        <v>115.5</v>
      </c>
      <c r="AA362" t="s">
        <v>179</v>
      </c>
      <c r="AB362" t="s">
        <v>18</v>
      </c>
      <c r="AC362">
        <v>3</v>
      </c>
      <c r="AD362" t="s">
        <v>19</v>
      </c>
      <c r="AE362" t="s">
        <v>95</v>
      </c>
      <c r="AF362" t="str">
        <f t="shared" si="11"/>
        <v>No</v>
      </c>
    </row>
    <row r="363" spans="1:32" x14ac:dyDescent="0.3">
      <c r="A363" t="s">
        <v>854</v>
      </c>
      <c r="B363" s="1">
        <v>45748</v>
      </c>
      <c r="C363" t="s">
        <v>474</v>
      </c>
      <c r="D363">
        <f t="shared" si="10"/>
        <v>12</v>
      </c>
      <c r="E363" t="s">
        <v>60</v>
      </c>
      <c r="F363" t="s">
        <v>48</v>
      </c>
      <c r="G363" t="s">
        <v>181</v>
      </c>
      <c r="H363" t="s">
        <v>61</v>
      </c>
      <c r="I363" t="s">
        <v>62</v>
      </c>
      <c r="J363" t="s">
        <v>7</v>
      </c>
      <c r="K363" t="s">
        <v>346</v>
      </c>
      <c r="L363" t="s">
        <v>855</v>
      </c>
      <c r="M363" t="s">
        <v>29</v>
      </c>
      <c r="N363" t="s">
        <v>11</v>
      </c>
      <c r="O363">
        <v>26</v>
      </c>
      <c r="P363" t="s">
        <v>91</v>
      </c>
      <c r="Q363" t="s">
        <v>134</v>
      </c>
      <c r="R363" t="s">
        <v>135</v>
      </c>
      <c r="S363" t="s">
        <v>136</v>
      </c>
      <c r="T363" t="s">
        <v>35</v>
      </c>
      <c r="U363">
        <v>2</v>
      </c>
      <c r="V363">
        <v>20</v>
      </c>
      <c r="W363">
        <v>60</v>
      </c>
      <c r="X363">
        <v>5</v>
      </c>
      <c r="Y363">
        <v>114</v>
      </c>
      <c r="Z363">
        <v>74</v>
      </c>
      <c r="AA363" t="s">
        <v>17</v>
      </c>
      <c r="AB363" t="s">
        <v>119</v>
      </c>
      <c r="AC363">
        <v>5</v>
      </c>
      <c r="AD363" t="s">
        <v>105</v>
      </c>
      <c r="AE363" t="s">
        <v>20</v>
      </c>
      <c r="AF363" t="str">
        <f t="shared" si="11"/>
        <v>Yes</v>
      </c>
    </row>
    <row r="364" spans="1:32" x14ac:dyDescent="0.3">
      <c r="A364" t="s">
        <v>856</v>
      </c>
      <c r="B364" s="1">
        <v>45686</v>
      </c>
      <c r="C364" t="s">
        <v>189</v>
      </c>
      <c r="D364">
        <f t="shared" si="10"/>
        <v>9</v>
      </c>
      <c r="E364" t="s">
        <v>2</v>
      </c>
      <c r="F364" t="s">
        <v>3</v>
      </c>
      <c r="G364" t="s">
        <v>73</v>
      </c>
      <c r="H364" t="s">
        <v>81</v>
      </c>
      <c r="I364" t="s">
        <v>82</v>
      </c>
      <c r="J364" t="s">
        <v>7</v>
      </c>
      <c r="K364" t="s">
        <v>114</v>
      </c>
      <c r="L364" t="s">
        <v>823</v>
      </c>
      <c r="M364" t="s">
        <v>140</v>
      </c>
      <c r="N364" t="s">
        <v>11</v>
      </c>
      <c r="O364">
        <v>19</v>
      </c>
      <c r="P364" t="s">
        <v>12</v>
      </c>
      <c r="Q364" t="s">
        <v>155</v>
      </c>
      <c r="R364" t="s">
        <v>156</v>
      </c>
      <c r="S364" t="s">
        <v>34</v>
      </c>
      <c r="T364" t="s">
        <v>16</v>
      </c>
      <c r="U364">
        <v>2</v>
      </c>
      <c r="V364">
        <v>40</v>
      </c>
      <c r="W364">
        <v>100</v>
      </c>
      <c r="X364">
        <v>10</v>
      </c>
      <c r="Y364">
        <v>180</v>
      </c>
      <c r="Z364">
        <v>100</v>
      </c>
      <c r="AA364" t="s">
        <v>36</v>
      </c>
      <c r="AB364" t="s">
        <v>37</v>
      </c>
      <c r="AC364">
        <v>4</v>
      </c>
      <c r="AD364" t="s">
        <v>19</v>
      </c>
      <c r="AE364" t="s">
        <v>20</v>
      </c>
      <c r="AF364" t="str">
        <f t="shared" si="11"/>
        <v>Yes</v>
      </c>
    </row>
    <row r="365" spans="1:32" x14ac:dyDescent="0.3">
      <c r="A365" t="s">
        <v>857</v>
      </c>
      <c r="B365" s="1">
        <v>45749</v>
      </c>
      <c r="C365" t="s">
        <v>388</v>
      </c>
      <c r="D365">
        <f t="shared" si="10"/>
        <v>19</v>
      </c>
      <c r="E365" t="s">
        <v>60</v>
      </c>
      <c r="F365" t="s">
        <v>48</v>
      </c>
      <c r="G365" t="s">
        <v>73</v>
      </c>
      <c r="H365" t="s">
        <v>61</v>
      </c>
      <c r="I365" t="s">
        <v>62</v>
      </c>
      <c r="J365" t="s">
        <v>7</v>
      </c>
      <c r="K365" t="s">
        <v>311</v>
      </c>
      <c r="L365" t="s">
        <v>858</v>
      </c>
      <c r="M365" t="s">
        <v>169</v>
      </c>
      <c r="N365" t="s">
        <v>30</v>
      </c>
      <c r="O365">
        <v>30</v>
      </c>
      <c r="P365" t="s">
        <v>76</v>
      </c>
      <c r="Q365" t="s">
        <v>605</v>
      </c>
      <c r="R365" t="s">
        <v>606</v>
      </c>
      <c r="S365" t="s">
        <v>237</v>
      </c>
      <c r="T365" t="s">
        <v>35</v>
      </c>
      <c r="U365">
        <v>3</v>
      </c>
      <c r="V365">
        <v>79</v>
      </c>
      <c r="W365">
        <v>173.8</v>
      </c>
      <c r="X365">
        <v>0</v>
      </c>
      <c r="Y365">
        <v>521.4</v>
      </c>
      <c r="Z365">
        <v>284.39999999999998</v>
      </c>
      <c r="AA365" t="s">
        <v>17</v>
      </c>
      <c r="AB365" t="s">
        <v>44</v>
      </c>
      <c r="AD365" t="s">
        <v>105</v>
      </c>
      <c r="AE365" t="s">
        <v>95</v>
      </c>
      <c r="AF365" t="str">
        <f t="shared" si="11"/>
        <v>No</v>
      </c>
    </row>
    <row r="366" spans="1:32" x14ac:dyDescent="0.3">
      <c r="A366" t="s">
        <v>859</v>
      </c>
      <c r="B366" s="1">
        <v>45691</v>
      </c>
      <c r="C366" t="s">
        <v>537</v>
      </c>
      <c r="D366">
        <f t="shared" si="10"/>
        <v>8</v>
      </c>
      <c r="E366" t="s">
        <v>145</v>
      </c>
      <c r="F366" t="s">
        <v>3</v>
      </c>
      <c r="G366" t="s">
        <v>23</v>
      </c>
      <c r="H366" t="s">
        <v>5</v>
      </c>
      <c r="I366" t="s">
        <v>6</v>
      </c>
      <c r="J366" t="s">
        <v>7</v>
      </c>
      <c r="K366" t="s">
        <v>63</v>
      </c>
      <c r="L366" t="s">
        <v>514</v>
      </c>
      <c r="M366" t="s">
        <v>29</v>
      </c>
      <c r="N366" t="s">
        <v>11</v>
      </c>
      <c r="O366">
        <v>29</v>
      </c>
      <c r="P366" t="s">
        <v>91</v>
      </c>
      <c r="Q366" t="s">
        <v>710</v>
      </c>
      <c r="R366" t="s">
        <v>711</v>
      </c>
      <c r="S366" t="s">
        <v>94</v>
      </c>
      <c r="T366" t="s">
        <v>16</v>
      </c>
      <c r="U366">
        <v>2</v>
      </c>
      <c r="V366">
        <v>83</v>
      </c>
      <c r="W366">
        <v>182.6</v>
      </c>
      <c r="X366">
        <v>5</v>
      </c>
      <c r="Y366">
        <v>346.94</v>
      </c>
      <c r="Z366">
        <v>180.94</v>
      </c>
      <c r="AA366" t="s">
        <v>43</v>
      </c>
      <c r="AB366" t="s">
        <v>37</v>
      </c>
      <c r="AC366">
        <v>4</v>
      </c>
      <c r="AD366" t="s">
        <v>105</v>
      </c>
      <c r="AE366" t="s">
        <v>20</v>
      </c>
      <c r="AF366" t="str">
        <f t="shared" si="11"/>
        <v>Yes</v>
      </c>
    </row>
    <row r="367" spans="1:32" x14ac:dyDescent="0.3">
      <c r="A367" t="s">
        <v>860</v>
      </c>
      <c r="B367" s="1">
        <v>45806</v>
      </c>
      <c r="C367" t="s">
        <v>89</v>
      </c>
      <c r="D367">
        <f t="shared" si="10"/>
        <v>13</v>
      </c>
      <c r="E367" t="s">
        <v>47</v>
      </c>
      <c r="F367" t="s">
        <v>48</v>
      </c>
      <c r="G367" t="s">
        <v>98</v>
      </c>
      <c r="H367" t="s">
        <v>150</v>
      </c>
      <c r="I367" t="s">
        <v>151</v>
      </c>
      <c r="J367" t="s">
        <v>152</v>
      </c>
      <c r="K367" t="s">
        <v>107</v>
      </c>
      <c r="L367" t="s">
        <v>715</v>
      </c>
      <c r="M367" t="s">
        <v>162</v>
      </c>
      <c r="N367" t="s">
        <v>11</v>
      </c>
      <c r="O367">
        <v>33</v>
      </c>
      <c r="P367" t="s">
        <v>76</v>
      </c>
      <c r="Q367" t="s">
        <v>126</v>
      </c>
      <c r="R367" t="s">
        <v>127</v>
      </c>
      <c r="S367" t="s">
        <v>128</v>
      </c>
      <c r="T367" t="s">
        <v>35</v>
      </c>
      <c r="U367">
        <v>4</v>
      </c>
      <c r="V367">
        <v>69</v>
      </c>
      <c r="W367">
        <v>193.2</v>
      </c>
      <c r="X367">
        <v>10</v>
      </c>
      <c r="Y367">
        <v>695.52</v>
      </c>
      <c r="Z367">
        <v>419.52</v>
      </c>
      <c r="AA367" t="s">
        <v>43</v>
      </c>
      <c r="AB367" t="s">
        <v>129</v>
      </c>
      <c r="AC367">
        <v>4</v>
      </c>
      <c r="AD367" t="s">
        <v>105</v>
      </c>
      <c r="AE367" t="s">
        <v>95</v>
      </c>
      <c r="AF367" t="str">
        <f t="shared" si="11"/>
        <v>No</v>
      </c>
    </row>
    <row r="368" spans="1:32" x14ac:dyDescent="0.3">
      <c r="A368" t="s">
        <v>861</v>
      </c>
      <c r="B368" s="1">
        <v>45744</v>
      </c>
      <c r="C368" t="s">
        <v>80</v>
      </c>
      <c r="D368">
        <f t="shared" si="10"/>
        <v>10</v>
      </c>
      <c r="E368" t="s">
        <v>72</v>
      </c>
      <c r="F368" t="s">
        <v>3</v>
      </c>
      <c r="G368" t="s">
        <v>40</v>
      </c>
      <c r="H368" t="s">
        <v>5</v>
      </c>
      <c r="I368" t="s">
        <v>6</v>
      </c>
      <c r="J368" t="s">
        <v>7</v>
      </c>
      <c r="K368" t="s">
        <v>229</v>
      </c>
      <c r="L368" t="s">
        <v>505</v>
      </c>
      <c r="M368" t="s">
        <v>261</v>
      </c>
      <c r="N368" t="s">
        <v>11</v>
      </c>
      <c r="O368">
        <v>19</v>
      </c>
      <c r="P368" t="s">
        <v>31</v>
      </c>
      <c r="Q368" t="s">
        <v>235</v>
      </c>
      <c r="R368" t="s">
        <v>236</v>
      </c>
      <c r="S368" t="s">
        <v>237</v>
      </c>
      <c r="T368" t="s">
        <v>35</v>
      </c>
      <c r="U368">
        <v>4</v>
      </c>
      <c r="V368">
        <v>22</v>
      </c>
      <c r="W368">
        <v>61.6</v>
      </c>
      <c r="X368">
        <v>5</v>
      </c>
      <c r="Y368">
        <v>234.08</v>
      </c>
      <c r="Z368">
        <v>146.08000000000001</v>
      </c>
      <c r="AA368" t="s">
        <v>36</v>
      </c>
      <c r="AB368" t="s">
        <v>18</v>
      </c>
      <c r="AC368">
        <v>5</v>
      </c>
      <c r="AD368" t="s">
        <v>19</v>
      </c>
      <c r="AE368" t="s">
        <v>95</v>
      </c>
      <c r="AF368" t="str">
        <f t="shared" si="11"/>
        <v>No</v>
      </c>
    </row>
    <row r="369" spans="1:32" x14ac:dyDescent="0.3">
      <c r="A369" t="s">
        <v>862</v>
      </c>
      <c r="B369" s="1">
        <v>45769</v>
      </c>
      <c r="C369" t="s">
        <v>174</v>
      </c>
      <c r="D369">
        <f t="shared" si="10"/>
        <v>17</v>
      </c>
      <c r="E369" t="s">
        <v>60</v>
      </c>
      <c r="F369" t="s">
        <v>48</v>
      </c>
      <c r="G369" t="s">
        <v>181</v>
      </c>
      <c r="H369" t="s">
        <v>5</v>
      </c>
      <c r="I369" t="s">
        <v>6</v>
      </c>
      <c r="J369" t="s">
        <v>7</v>
      </c>
      <c r="K369" t="s">
        <v>196</v>
      </c>
      <c r="L369" t="s">
        <v>863</v>
      </c>
      <c r="M369" t="s">
        <v>162</v>
      </c>
      <c r="N369" t="s">
        <v>11</v>
      </c>
      <c r="O369">
        <v>46</v>
      </c>
      <c r="P369" t="s">
        <v>54</v>
      </c>
      <c r="Q369" t="s">
        <v>32</v>
      </c>
      <c r="R369" t="s">
        <v>33</v>
      </c>
      <c r="S369" t="s">
        <v>34</v>
      </c>
      <c r="T369" t="s">
        <v>35</v>
      </c>
      <c r="U369">
        <v>3</v>
      </c>
      <c r="V369">
        <v>83</v>
      </c>
      <c r="W369">
        <v>232.4</v>
      </c>
      <c r="X369">
        <v>0</v>
      </c>
      <c r="Y369">
        <v>697.2</v>
      </c>
      <c r="Z369">
        <v>448.2</v>
      </c>
      <c r="AA369" t="s">
        <v>17</v>
      </c>
      <c r="AB369" t="s">
        <v>37</v>
      </c>
      <c r="AC369">
        <v>4</v>
      </c>
      <c r="AD369" t="s">
        <v>105</v>
      </c>
      <c r="AE369" t="s">
        <v>20</v>
      </c>
      <c r="AF369" t="str">
        <f t="shared" si="11"/>
        <v>Yes</v>
      </c>
    </row>
    <row r="370" spans="1:32" x14ac:dyDescent="0.3">
      <c r="A370" t="s">
        <v>864</v>
      </c>
      <c r="B370" s="1">
        <v>45737</v>
      </c>
      <c r="C370" t="s">
        <v>80</v>
      </c>
      <c r="D370">
        <f t="shared" si="10"/>
        <v>10</v>
      </c>
      <c r="E370" t="s">
        <v>72</v>
      </c>
      <c r="F370" t="s">
        <v>3</v>
      </c>
      <c r="G370" t="s">
        <v>40</v>
      </c>
      <c r="H370" t="s">
        <v>61</v>
      </c>
      <c r="I370" t="s">
        <v>62</v>
      </c>
      <c r="J370" t="s">
        <v>7</v>
      </c>
      <c r="K370" t="s">
        <v>318</v>
      </c>
      <c r="L370" t="s">
        <v>514</v>
      </c>
      <c r="M370" t="s">
        <v>29</v>
      </c>
      <c r="N370" t="s">
        <v>30</v>
      </c>
      <c r="O370">
        <v>36</v>
      </c>
      <c r="P370" t="s">
        <v>31</v>
      </c>
      <c r="Q370" t="s">
        <v>134</v>
      </c>
      <c r="R370" t="s">
        <v>135</v>
      </c>
      <c r="S370" t="s">
        <v>136</v>
      </c>
      <c r="T370" t="s">
        <v>35</v>
      </c>
      <c r="U370">
        <v>3</v>
      </c>
      <c r="V370">
        <v>20</v>
      </c>
      <c r="W370">
        <v>60</v>
      </c>
      <c r="X370">
        <v>5</v>
      </c>
      <c r="Y370">
        <v>171</v>
      </c>
      <c r="Z370">
        <v>111</v>
      </c>
      <c r="AA370" t="s">
        <v>17</v>
      </c>
      <c r="AB370" t="s">
        <v>129</v>
      </c>
      <c r="AC370">
        <v>5</v>
      </c>
      <c r="AD370" t="s">
        <v>19</v>
      </c>
      <c r="AE370" t="s">
        <v>20</v>
      </c>
      <c r="AF370" t="str">
        <f t="shared" si="11"/>
        <v>Yes</v>
      </c>
    </row>
    <row r="371" spans="1:32" x14ac:dyDescent="0.3">
      <c r="A371" t="s">
        <v>865</v>
      </c>
      <c r="B371" s="1">
        <v>45828</v>
      </c>
      <c r="C371" t="s">
        <v>174</v>
      </c>
      <c r="D371">
        <f t="shared" si="10"/>
        <v>17</v>
      </c>
      <c r="E371" t="s">
        <v>131</v>
      </c>
      <c r="F371" t="s">
        <v>48</v>
      </c>
      <c r="G371" t="s">
        <v>40</v>
      </c>
      <c r="H371" t="s">
        <v>61</v>
      </c>
      <c r="I371" t="s">
        <v>62</v>
      </c>
      <c r="J371" t="s">
        <v>7</v>
      </c>
      <c r="K371" t="s">
        <v>311</v>
      </c>
      <c r="L371" t="s">
        <v>851</v>
      </c>
      <c r="M371" t="s">
        <v>162</v>
      </c>
      <c r="N371" t="s">
        <v>11</v>
      </c>
      <c r="O371">
        <v>43</v>
      </c>
      <c r="P371" t="s">
        <v>12</v>
      </c>
      <c r="Q371" t="s">
        <v>280</v>
      </c>
      <c r="R371" t="s">
        <v>281</v>
      </c>
      <c r="S371" t="s">
        <v>218</v>
      </c>
      <c r="T371" t="s">
        <v>16</v>
      </c>
      <c r="U371">
        <v>3</v>
      </c>
      <c r="V371">
        <v>34</v>
      </c>
      <c r="W371">
        <v>74.8</v>
      </c>
      <c r="X371">
        <v>0</v>
      </c>
      <c r="Y371">
        <v>224.4</v>
      </c>
      <c r="Z371">
        <v>122.4</v>
      </c>
      <c r="AA371" t="s">
        <v>36</v>
      </c>
      <c r="AB371" t="s">
        <v>18</v>
      </c>
      <c r="AC371">
        <v>4</v>
      </c>
      <c r="AD371" t="s">
        <v>19</v>
      </c>
      <c r="AE371" t="s">
        <v>20</v>
      </c>
      <c r="AF371" t="str">
        <f t="shared" si="11"/>
        <v>Yes</v>
      </c>
    </row>
    <row r="372" spans="1:32" x14ac:dyDescent="0.3">
      <c r="A372" t="s">
        <v>866</v>
      </c>
      <c r="B372" s="1">
        <v>45802</v>
      </c>
      <c r="C372" t="s">
        <v>303</v>
      </c>
      <c r="D372">
        <f t="shared" si="10"/>
        <v>12</v>
      </c>
      <c r="E372" t="s">
        <v>47</v>
      </c>
      <c r="F372" t="s">
        <v>48</v>
      </c>
      <c r="G372" t="s">
        <v>4</v>
      </c>
      <c r="H372" t="s">
        <v>164</v>
      </c>
      <c r="I372" t="s">
        <v>165</v>
      </c>
      <c r="J372" t="s">
        <v>166</v>
      </c>
      <c r="K372" t="s">
        <v>311</v>
      </c>
      <c r="L372" t="s">
        <v>867</v>
      </c>
      <c r="M372" t="s">
        <v>10</v>
      </c>
      <c r="N372" t="s">
        <v>30</v>
      </c>
      <c r="O372">
        <v>57</v>
      </c>
      <c r="P372" t="s">
        <v>12</v>
      </c>
      <c r="Q372" t="s">
        <v>216</v>
      </c>
      <c r="R372" t="s">
        <v>217</v>
      </c>
      <c r="S372" t="s">
        <v>218</v>
      </c>
      <c r="T372" t="s">
        <v>35</v>
      </c>
      <c r="U372">
        <v>2</v>
      </c>
      <c r="V372">
        <v>67</v>
      </c>
      <c r="W372">
        <v>187.6</v>
      </c>
      <c r="X372">
        <v>0</v>
      </c>
      <c r="Y372">
        <v>375.2</v>
      </c>
      <c r="Z372">
        <v>241.2</v>
      </c>
      <c r="AA372" t="s">
        <v>36</v>
      </c>
      <c r="AB372" t="s">
        <v>87</v>
      </c>
      <c r="AC372">
        <v>3</v>
      </c>
      <c r="AD372" t="s">
        <v>105</v>
      </c>
      <c r="AE372" t="s">
        <v>20</v>
      </c>
      <c r="AF372" t="str">
        <f t="shared" si="11"/>
        <v>Yes</v>
      </c>
    </row>
    <row r="373" spans="1:32" x14ac:dyDescent="0.3">
      <c r="A373" t="s">
        <v>868</v>
      </c>
      <c r="B373" s="1">
        <v>45756</v>
      </c>
      <c r="C373" t="s">
        <v>399</v>
      </c>
      <c r="D373">
        <f t="shared" si="10"/>
        <v>20</v>
      </c>
      <c r="E373" t="s">
        <v>60</v>
      </c>
      <c r="F373" t="s">
        <v>48</v>
      </c>
      <c r="G373" t="s">
        <v>73</v>
      </c>
      <c r="H373" t="s">
        <v>122</v>
      </c>
      <c r="I373" t="s">
        <v>123</v>
      </c>
      <c r="J373" t="s">
        <v>7</v>
      </c>
      <c r="K373" t="s">
        <v>41</v>
      </c>
      <c r="L373" t="s">
        <v>255</v>
      </c>
      <c r="M373" t="s">
        <v>184</v>
      </c>
      <c r="N373" t="s">
        <v>30</v>
      </c>
      <c r="O373">
        <v>49</v>
      </c>
      <c r="P373" t="s">
        <v>76</v>
      </c>
      <c r="Q373" t="s">
        <v>240</v>
      </c>
      <c r="R373" t="s">
        <v>241</v>
      </c>
      <c r="S373" t="s">
        <v>242</v>
      </c>
      <c r="T373" t="s">
        <v>35</v>
      </c>
      <c r="U373">
        <v>2</v>
      </c>
      <c r="V373">
        <v>89</v>
      </c>
      <c r="W373">
        <v>267</v>
      </c>
      <c r="X373">
        <v>15</v>
      </c>
      <c r="Y373">
        <v>453.9</v>
      </c>
      <c r="Z373">
        <v>275.89999999999998</v>
      </c>
      <c r="AA373" t="s">
        <v>36</v>
      </c>
      <c r="AB373" t="s">
        <v>129</v>
      </c>
      <c r="AC373">
        <v>4</v>
      </c>
      <c r="AD373" t="s">
        <v>19</v>
      </c>
      <c r="AE373" t="s">
        <v>20</v>
      </c>
      <c r="AF373" t="str">
        <f t="shared" si="11"/>
        <v>Yes</v>
      </c>
    </row>
    <row r="374" spans="1:32" x14ac:dyDescent="0.3">
      <c r="A374" t="s">
        <v>869</v>
      </c>
      <c r="B374" s="1">
        <v>45716</v>
      </c>
      <c r="C374" t="s">
        <v>373</v>
      </c>
      <c r="D374">
        <f t="shared" si="10"/>
        <v>9</v>
      </c>
      <c r="E374" t="s">
        <v>145</v>
      </c>
      <c r="F374" t="s">
        <v>3</v>
      </c>
      <c r="G374" t="s">
        <v>40</v>
      </c>
      <c r="H374" t="s">
        <v>5</v>
      </c>
      <c r="I374" t="s">
        <v>6</v>
      </c>
      <c r="J374" t="s">
        <v>7</v>
      </c>
      <c r="K374" t="s">
        <v>229</v>
      </c>
      <c r="L374" t="s">
        <v>133</v>
      </c>
      <c r="M374" t="s">
        <v>53</v>
      </c>
      <c r="N374" t="s">
        <v>11</v>
      </c>
      <c r="O374">
        <v>30</v>
      </c>
      <c r="P374" t="s">
        <v>76</v>
      </c>
      <c r="Q374" t="s">
        <v>262</v>
      </c>
      <c r="R374" t="s">
        <v>263</v>
      </c>
      <c r="S374" t="s">
        <v>218</v>
      </c>
      <c r="T374" t="s">
        <v>35</v>
      </c>
      <c r="U374">
        <v>3</v>
      </c>
      <c r="V374">
        <v>40</v>
      </c>
      <c r="W374">
        <v>112</v>
      </c>
      <c r="X374">
        <v>0</v>
      </c>
      <c r="Y374">
        <v>336</v>
      </c>
      <c r="Z374">
        <v>216</v>
      </c>
      <c r="AA374" t="s">
        <v>17</v>
      </c>
      <c r="AB374" t="s">
        <v>44</v>
      </c>
      <c r="AD374" t="s">
        <v>105</v>
      </c>
      <c r="AE374" t="s">
        <v>20</v>
      </c>
      <c r="AF374" t="str">
        <f t="shared" si="11"/>
        <v>Yes</v>
      </c>
    </row>
    <row r="375" spans="1:32" x14ac:dyDescent="0.3">
      <c r="A375" t="s">
        <v>870</v>
      </c>
      <c r="B375" s="1">
        <v>45659</v>
      </c>
      <c r="C375" t="s">
        <v>337</v>
      </c>
      <c r="D375">
        <f t="shared" si="10"/>
        <v>17</v>
      </c>
      <c r="E375" t="s">
        <v>2</v>
      </c>
      <c r="F375" t="s">
        <v>3</v>
      </c>
      <c r="G375" t="s">
        <v>98</v>
      </c>
      <c r="H375" t="s">
        <v>49</v>
      </c>
      <c r="I375" t="s">
        <v>50</v>
      </c>
      <c r="J375" t="s">
        <v>7</v>
      </c>
      <c r="K375" t="s">
        <v>323</v>
      </c>
      <c r="L375" t="s">
        <v>465</v>
      </c>
      <c r="M375" t="s">
        <v>65</v>
      </c>
      <c r="N375" t="s">
        <v>30</v>
      </c>
      <c r="O375">
        <v>40</v>
      </c>
      <c r="P375" t="s">
        <v>54</v>
      </c>
      <c r="Q375" t="s">
        <v>226</v>
      </c>
      <c r="R375" t="s">
        <v>227</v>
      </c>
      <c r="S375" t="s">
        <v>68</v>
      </c>
      <c r="T375" t="s">
        <v>35</v>
      </c>
      <c r="U375">
        <v>2</v>
      </c>
      <c r="V375">
        <v>43</v>
      </c>
      <c r="W375">
        <v>94.6</v>
      </c>
      <c r="X375">
        <v>10</v>
      </c>
      <c r="Y375">
        <v>170.28</v>
      </c>
      <c r="Z375">
        <v>84.28</v>
      </c>
      <c r="AA375" t="s">
        <v>69</v>
      </c>
      <c r="AB375" t="s">
        <v>18</v>
      </c>
      <c r="AC375">
        <v>4</v>
      </c>
      <c r="AD375" t="s">
        <v>105</v>
      </c>
      <c r="AE375" t="s">
        <v>20</v>
      </c>
      <c r="AF375" t="str">
        <f t="shared" si="11"/>
        <v>Yes</v>
      </c>
    </row>
    <row r="376" spans="1:32" x14ac:dyDescent="0.3">
      <c r="A376" t="s">
        <v>871</v>
      </c>
      <c r="B376" s="1">
        <v>45828</v>
      </c>
      <c r="C376" t="s">
        <v>158</v>
      </c>
      <c r="D376">
        <f t="shared" si="10"/>
        <v>8</v>
      </c>
      <c r="E376" t="s">
        <v>131</v>
      </c>
      <c r="F376" t="s">
        <v>48</v>
      </c>
      <c r="G376" t="s">
        <v>40</v>
      </c>
      <c r="H376" t="s">
        <v>164</v>
      </c>
      <c r="I376" t="s">
        <v>165</v>
      </c>
      <c r="J376" t="s">
        <v>166</v>
      </c>
      <c r="K376" t="s">
        <v>63</v>
      </c>
      <c r="L376" t="s">
        <v>688</v>
      </c>
      <c r="M376" t="s">
        <v>53</v>
      </c>
      <c r="N376" t="s">
        <v>11</v>
      </c>
      <c r="O376">
        <v>62</v>
      </c>
      <c r="P376" t="s">
        <v>54</v>
      </c>
      <c r="Q376" t="s">
        <v>364</v>
      </c>
      <c r="R376" t="s">
        <v>365</v>
      </c>
      <c r="S376" t="s">
        <v>187</v>
      </c>
      <c r="T376" t="s">
        <v>35</v>
      </c>
      <c r="U376">
        <v>1</v>
      </c>
      <c r="V376">
        <v>28</v>
      </c>
      <c r="W376">
        <v>84</v>
      </c>
      <c r="X376">
        <v>5</v>
      </c>
      <c r="Y376">
        <v>79.8</v>
      </c>
      <c r="Z376">
        <v>51.8</v>
      </c>
      <c r="AA376" t="s">
        <v>43</v>
      </c>
      <c r="AB376" t="s">
        <v>129</v>
      </c>
      <c r="AC376">
        <v>3</v>
      </c>
      <c r="AD376" t="s">
        <v>19</v>
      </c>
      <c r="AE376" t="s">
        <v>20</v>
      </c>
      <c r="AF376" t="str">
        <f t="shared" si="11"/>
        <v>Yes</v>
      </c>
    </row>
    <row r="377" spans="1:32" x14ac:dyDescent="0.3">
      <c r="A377" t="s">
        <v>872</v>
      </c>
      <c r="B377" s="1">
        <v>45717</v>
      </c>
      <c r="C377" t="s">
        <v>537</v>
      </c>
      <c r="D377">
        <f t="shared" si="10"/>
        <v>8</v>
      </c>
      <c r="E377" t="s">
        <v>72</v>
      </c>
      <c r="F377" t="s">
        <v>3</v>
      </c>
      <c r="G377" t="s">
        <v>132</v>
      </c>
      <c r="H377" t="s">
        <v>81</v>
      </c>
      <c r="I377" t="s">
        <v>82</v>
      </c>
      <c r="J377" t="s">
        <v>7</v>
      </c>
      <c r="K377" t="s">
        <v>270</v>
      </c>
      <c r="L377" t="s">
        <v>658</v>
      </c>
      <c r="M377" t="s">
        <v>65</v>
      </c>
      <c r="N377" t="s">
        <v>11</v>
      </c>
      <c r="O377">
        <v>56</v>
      </c>
      <c r="P377" t="s">
        <v>91</v>
      </c>
      <c r="Q377" t="s">
        <v>134</v>
      </c>
      <c r="R377" t="s">
        <v>135</v>
      </c>
      <c r="S377" t="s">
        <v>136</v>
      </c>
      <c r="T377" t="s">
        <v>35</v>
      </c>
      <c r="U377">
        <v>2</v>
      </c>
      <c r="V377">
        <v>20</v>
      </c>
      <c r="W377">
        <v>60</v>
      </c>
      <c r="X377">
        <v>5</v>
      </c>
      <c r="Y377">
        <v>114</v>
      </c>
      <c r="Z377">
        <v>74</v>
      </c>
      <c r="AA377" t="s">
        <v>17</v>
      </c>
      <c r="AB377" t="s">
        <v>129</v>
      </c>
      <c r="AC377">
        <v>4</v>
      </c>
      <c r="AD377" t="s">
        <v>105</v>
      </c>
      <c r="AE377" t="s">
        <v>20</v>
      </c>
      <c r="AF377" t="str">
        <f t="shared" si="11"/>
        <v>Yes</v>
      </c>
    </row>
    <row r="378" spans="1:32" x14ac:dyDescent="0.3">
      <c r="A378" t="s">
        <v>873</v>
      </c>
      <c r="B378" s="1">
        <v>45718</v>
      </c>
      <c r="C378" t="s">
        <v>537</v>
      </c>
      <c r="D378">
        <f t="shared" si="10"/>
        <v>8</v>
      </c>
      <c r="E378" t="s">
        <v>72</v>
      </c>
      <c r="F378" t="s">
        <v>3</v>
      </c>
      <c r="G378" t="s">
        <v>4</v>
      </c>
      <c r="H378" t="s">
        <v>49</v>
      </c>
      <c r="I378" t="s">
        <v>50</v>
      </c>
      <c r="J378" t="s">
        <v>7</v>
      </c>
      <c r="K378" t="s">
        <v>138</v>
      </c>
      <c r="L378" t="s">
        <v>863</v>
      </c>
      <c r="M378" t="s">
        <v>53</v>
      </c>
      <c r="N378" t="s">
        <v>11</v>
      </c>
      <c r="O378">
        <v>61</v>
      </c>
      <c r="P378" t="s">
        <v>91</v>
      </c>
      <c r="Q378" t="s">
        <v>518</v>
      </c>
      <c r="R378" t="s">
        <v>519</v>
      </c>
      <c r="S378" t="s">
        <v>242</v>
      </c>
      <c r="T378" t="s">
        <v>35</v>
      </c>
      <c r="U378">
        <v>1</v>
      </c>
      <c r="V378">
        <v>88</v>
      </c>
      <c r="W378">
        <v>193.6</v>
      </c>
      <c r="X378">
        <v>15</v>
      </c>
      <c r="Y378">
        <v>164.56</v>
      </c>
      <c r="Z378">
        <v>76.56</v>
      </c>
      <c r="AA378" t="s">
        <v>179</v>
      </c>
      <c r="AB378" t="s">
        <v>44</v>
      </c>
      <c r="AC378">
        <v>4</v>
      </c>
      <c r="AD378" t="s">
        <v>19</v>
      </c>
      <c r="AE378" t="s">
        <v>20</v>
      </c>
      <c r="AF378" t="str">
        <f t="shared" si="11"/>
        <v>Yes</v>
      </c>
    </row>
    <row r="379" spans="1:32" x14ac:dyDescent="0.3">
      <c r="A379" t="s">
        <v>874</v>
      </c>
      <c r="B379" s="1">
        <v>45768</v>
      </c>
      <c r="C379" t="s">
        <v>829</v>
      </c>
      <c r="D379">
        <f t="shared" si="10"/>
        <v>14</v>
      </c>
      <c r="E379" t="s">
        <v>60</v>
      </c>
      <c r="F379" t="s">
        <v>48</v>
      </c>
      <c r="G379" t="s">
        <v>23</v>
      </c>
      <c r="H379" t="s">
        <v>24</v>
      </c>
      <c r="I379" t="s">
        <v>25</v>
      </c>
      <c r="J379" t="s">
        <v>26</v>
      </c>
      <c r="K379" t="s">
        <v>306</v>
      </c>
      <c r="L379" t="s">
        <v>875</v>
      </c>
      <c r="M379" t="s">
        <v>140</v>
      </c>
      <c r="N379" t="s">
        <v>11</v>
      </c>
      <c r="O379">
        <v>54</v>
      </c>
      <c r="P379" t="s">
        <v>76</v>
      </c>
      <c r="Q379" t="s">
        <v>518</v>
      </c>
      <c r="R379" t="s">
        <v>519</v>
      </c>
      <c r="S379" t="s">
        <v>242</v>
      </c>
      <c r="T379" t="s">
        <v>35</v>
      </c>
      <c r="U379">
        <v>4</v>
      </c>
      <c r="V379">
        <v>88</v>
      </c>
      <c r="W379">
        <v>193.6</v>
      </c>
      <c r="X379">
        <v>10</v>
      </c>
      <c r="Y379">
        <v>696.96</v>
      </c>
      <c r="Z379">
        <v>344.96</v>
      </c>
      <c r="AA379" t="s">
        <v>69</v>
      </c>
      <c r="AB379" t="s">
        <v>87</v>
      </c>
      <c r="AC379">
        <v>5</v>
      </c>
      <c r="AD379" t="s">
        <v>105</v>
      </c>
      <c r="AE379" t="s">
        <v>95</v>
      </c>
      <c r="AF379" t="str">
        <f t="shared" si="11"/>
        <v>No</v>
      </c>
    </row>
    <row r="380" spans="1:32" x14ac:dyDescent="0.3">
      <c r="A380" t="s">
        <v>876</v>
      </c>
      <c r="B380" s="1">
        <v>45682</v>
      </c>
      <c r="C380" t="s">
        <v>121</v>
      </c>
      <c r="D380">
        <f t="shared" si="10"/>
        <v>9</v>
      </c>
      <c r="E380" t="s">
        <v>2</v>
      </c>
      <c r="F380" t="s">
        <v>3</v>
      </c>
      <c r="G380" t="s">
        <v>132</v>
      </c>
      <c r="H380" t="s">
        <v>61</v>
      </c>
      <c r="I380" t="s">
        <v>62</v>
      </c>
      <c r="J380" t="s">
        <v>7</v>
      </c>
      <c r="K380" t="s">
        <v>229</v>
      </c>
      <c r="L380" t="s">
        <v>538</v>
      </c>
      <c r="M380" t="s">
        <v>10</v>
      </c>
      <c r="N380" t="s">
        <v>11</v>
      </c>
      <c r="O380">
        <v>37</v>
      </c>
      <c r="P380" t="s">
        <v>76</v>
      </c>
      <c r="Q380" t="s">
        <v>295</v>
      </c>
      <c r="R380" t="s">
        <v>296</v>
      </c>
      <c r="S380" t="s">
        <v>57</v>
      </c>
      <c r="T380" t="s">
        <v>35</v>
      </c>
      <c r="U380">
        <v>1</v>
      </c>
      <c r="V380">
        <v>62</v>
      </c>
      <c r="W380">
        <v>186</v>
      </c>
      <c r="X380">
        <v>5</v>
      </c>
      <c r="Y380">
        <v>176.7</v>
      </c>
      <c r="Z380">
        <v>114.7</v>
      </c>
      <c r="AA380" t="s">
        <v>17</v>
      </c>
      <c r="AB380" t="s">
        <v>119</v>
      </c>
      <c r="AC380">
        <v>4</v>
      </c>
      <c r="AD380" t="s">
        <v>105</v>
      </c>
      <c r="AE380" t="s">
        <v>20</v>
      </c>
      <c r="AF380" t="str">
        <f t="shared" si="11"/>
        <v>Yes</v>
      </c>
    </row>
    <row r="381" spans="1:32" x14ac:dyDescent="0.3">
      <c r="A381" t="s">
        <v>877</v>
      </c>
      <c r="B381" s="1">
        <v>45726</v>
      </c>
      <c r="C381" t="s">
        <v>537</v>
      </c>
      <c r="D381">
        <f t="shared" si="10"/>
        <v>8</v>
      </c>
      <c r="E381" t="s">
        <v>72</v>
      </c>
      <c r="F381" t="s">
        <v>3</v>
      </c>
      <c r="G381" t="s">
        <v>23</v>
      </c>
      <c r="H381" t="s">
        <v>5</v>
      </c>
      <c r="I381" t="s">
        <v>6</v>
      </c>
      <c r="J381" t="s">
        <v>7</v>
      </c>
      <c r="K381" t="s">
        <v>138</v>
      </c>
      <c r="L381" t="s">
        <v>713</v>
      </c>
      <c r="M381" t="s">
        <v>53</v>
      </c>
      <c r="N381" t="s">
        <v>30</v>
      </c>
      <c r="O381">
        <v>53</v>
      </c>
      <c r="P381" t="s">
        <v>31</v>
      </c>
      <c r="Q381" t="s">
        <v>280</v>
      </c>
      <c r="R381" t="s">
        <v>281</v>
      </c>
      <c r="S381" t="s">
        <v>218</v>
      </c>
      <c r="T381" t="s">
        <v>16</v>
      </c>
      <c r="U381">
        <v>2</v>
      </c>
      <c r="V381">
        <v>34</v>
      </c>
      <c r="W381">
        <v>74.8</v>
      </c>
      <c r="X381">
        <v>5</v>
      </c>
      <c r="Y381">
        <v>142.12</v>
      </c>
      <c r="Z381">
        <v>74.12</v>
      </c>
      <c r="AA381" t="s">
        <v>69</v>
      </c>
      <c r="AB381" t="s">
        <v>44</v>
      </c>
      <c r="AC381">
        <v>4</v>
      </c>
      <c r="AD381" t="s">
        <v>105</v>
      </c>
      <c r="AE381" t="s">
        <v>20</v>
      </c>
      <c r="AF381" t="str">
        <f t="shared" si="11"/>
        <v>Yes</v>
      </c>
    </row>
    <row r="382" spans="1:32" x14ac:dyDescent="0.3">
      <c r="A382" t="s">
        <v>878</v>
      </c>
      <c r="B382" s="1">
        <v>45830</v>
      </c>
      <c r="C382" t="s">
        <v>303</v>
      </c>
      <c r="D382">
        <f t="shared" si="10"/>
        <v>12</v>
      </c>
      <c r="E382" t="s">
        <v>131</v>
      </c>
      <c r="F382" t="s">
        <v>48</v>
      </c>
      <c r="G382" t="s">
        <v>4</v>
      </c>
      <c r="H382" t="s">
        <v>49</v>
      </c>
      <c r="I382" t="s">
        <v>50</v>
      </c>
      <c r="J382" t="s">
        <v>7</v>
      </c>
      <c r="K382" t="s">
        <v>245</v>
      </c>
      <c r="L382" t="s">
        <v>52</v>
      </c>
      <c r="M382" t="s">
        <v>162</v>
      </c>
      <c r="N382" t="s">
        <v>11</v>
      </c>
      <c r="O382">
        <v>52</v>
      </c>
      <c r="P382" t="s">
        <v>12</v>
      </c>
      <c r="Q382" t="s">
        <v>109</v>
      </c>
      <c r="R382" t="s">
        <v>110</v>
      </c>
      <c r="S382" t="s">
        <v>111</v>
      </c>
      <c r="T382" t="s">
        <v>16</v>
      </c>
      <c r="U382">
        <v>4</v>
      </c>
      <c r="V382">
        <v>83</v>
      </c>
      <c r="W382">
        <v>182.6</v>
      </c>
      <c r="X382">
        <v>10</v>
      </c>
      <c r="Y382">
        <v>657.36</v>
      </c>
      <c r="Z382">
        <v>325.36</v>
      </c>
      <c r="AA382" t="s">
        <v>69</v>
      </c>
      <c r="AB382" t="s">
        <v>44</v>
      </c>
      <c r="AC382">
        <v>3</v>
      </c>
      <c r="AD382" t="s">
        <v>19</v>
      </c>
      <c r="AE382" t="s">
        <v>20</v>
      </c>
      <c r="AF382" t="str">
        <f t="shared" si="11"/>
        <v>Yes</v>
      </c>
    </row>
    <row r="383" spans="1:32" x14ac:dyDescent="0.3">
      <c r="A383" t="s">
        <v>879</v>
      </c>
      <c r="B383" s="1">
        <v>45793</v>
      </c>
      <c r="C383" t="s">
        <v>425</v>
      </c>
      <c r="D383">
        <f t="shared" si="10"/>
        <v>15</v>
      </c>
      <c r="E383" t="s">
        <v>47</v>
      </c>
      <c r="F383" t="s">
        <v>48</v>
      </c>
      <c r="G383" t="s">
        <v>40</v>
      </c>
      <c r="H383" t="s">
        <v>5</v>
      </c>
      <c r="I383" t="s">
        <v>6</v>
      </c>
      <c r="J383" t="s">
        <v>7</v>
      </c>
      <c r="K383" t="s">
        <v>146</v>
      </c>
      <c r="L383" t="s">
        <v>721</v>
      </c>
      <c r="M383" t="s">
        <v>53</v>
      </c>
      <c r="N383" t="s">
        <v>11</v>
      </c>
      <c r="O383">
        <v>65</v>
      </c>
      <c r="P383" t="s">
        <v>31</v>
      </c>
      <c r="Q383" t="s">
        <v>116</v>
      </c>
      <c r="R383" t="s">
        <v>117</v>
      </c>
      <c r="S383" t="s">
        <v>118</v>
      </c>
      <c r="T383" t="s">
        <v>35</v>
      </c>
      <c r="U383">
        <v>3</v>
      </c>
      <c r="V383">
        <v>99</v>
      </c>
      <c r="W383">
        <v>277.2</v>
      </c>
      <c r="X383">
        <v>5</v>
      </c>
      <c r="Y383">
        <v>790.02</v>
      </c>
      <c r="Z383">
        <v>493.02</v>
      </c>
      <c r="AA383" t="s">
        <v>69</v>
      </c>
      <c r="AB383" t="s">
        <v>129</v>
      </c>
      <c r="AC383">
        <v>4</v>
      </c>
      <c r="AD383" t="s">
        <v>19</v>
      </c>
      <c r="AE383" t="s">
        <v>20</v>
      </c>
      <c r="AF383" t="str">
        <f t="shared" si="11"/>
        <v>Yes</v>
      </c>
    </row>
    <row r="384" spans="1:32" x14ac:dyDescent="0.3">
      <c r="A384" t="s">
        <v>880</v>
      </c>
      <c r="B384" s="1">
        <v>45696</v>
      </c>
      <c r="C384" t="s">
        <v>244</v>
      </c>
      <c r="D384">
        <f t="shared" si="10"/>
        <v>20</v>
      </c>
      <c r="E384" t="s">
        <v>145</v>
      </c>
      <c r="F384" t="s">
        <v>3</v>
      </c>
      <c r="G384" t="s">
        <v>132</v>
      </c>
      <c r="H384" t="s">
        <v>49</v>
      </c>
      <c r="I384" t="s">
        <v>50</v>
      </c>
      <c r="J384" t="s">
        <v>7</v>
      </c>
      <c r="K384" t="s">
        <v>83</v>
      </c>
      <c r="L384" t="s">
        <v>630</v>
      </c>
      <c r="M384" t="s">
        <v>29</v>
      </c>
      <c r="N384" t="s">
        <v>30</v>
      </c>
      <c r="O384">
        <v>50</v>
      </c>
      <c r="P384" t="s">
        <v>31</v>
      </c>
      <c r="Q384" t="s">
        <v>126</v>
      </c>
      <c r="R384" t="s">
        <v>127</v>
      </c>
      <c r="S384" t="s">
        <v>128</v>
      </c>
      <c r="T384" t="s">
        <v>35</v>
      </c>
      <c r="U384">
        <v>4</v>
      </c>
      <c r="V384">
        <v>69</v>
      </c>
      <c r="W384">
        <v>193.2</v>
      </c>
      <c r="X384">
        <v>10</v>
      </c>
      <c r="Y384">
        <v>695.52</v>
      </c>
      <c r="Z384">
        <v>419.52</v>
      </c>
      <c r="AA384" t="s">
        <v>179</v>
      </c>
      <c r="AB384" t="s">
        <v>119</v>
      </c>
      <c r="AC384">
        <v>4</v>
      </c>
      <c r="AD384" t="s">
        <v>105</v>
      </c>
      <c r="AE384" t="s">
        <v>95</v>
      </c>
      <c r="AF384" t="str">
        <f t="shared" si="11"/>
        <v>No</v>
      </c>
    </row>
    <row r="385" spans="1:32" x14ac:dyDescent="0.3">
      <c r="A385" t="s">
        <v>881</v>
      </c>
      <c r="B385" s="1">
        <v>45754</v>
      </c>
      <c r="C385" t="s">
        <v>420</v>
      </c>
      <c r="D385">
        <f t="shared" si="10"/>
        <v>21</v>
      </c>
      <c r="E385" t="s">
        <v>60</v>
      </c>
      <c r="F385" t="s">
        <v>48</v>
      </c>
      <c r="G385" t="s">
        <v>23</v>
      </c>
      <c r="H385" t="s">
        <v>49</v>
      </c>
      <c r="I385" t="s">
        <v>50</v>
      </c>
      <c r="J385" t="s">
        <v>7</v>
      </c>
      <c r="K385" t="s">
        <v>83</v>
      </c>
      <c r="L385" t="s">
        <v>483</v>
      </c>
      <c r="M385" t="s">
        <v>162</v>
      </c>
      <c r="N385" t="s">
        <v>11</v>
      </c>
      <c r="O385">
        <v>51</v>
      </c>
      <c r="P385" t="s">
        <v>76</v>
      </c>
      <c r="Q385" t="s">
        <v>170</v>
      </c>
      <c r="R385" t="s">
        <v>171</v>
      </c>
      <c r="S385" t="s">
        <v>172</v>
      </c>
      <c r="T385" t="s">
        <v>35</v>
      </c>
      <c r="U385">
        <v>2</v>
      </c>
      <c r="V385">
        <v>72</v>
      </c>
      <c r="W385">
        <v>216</v>
      </c>
      <c r="X385">
        <v>10</v>
      </c>
      <c r="Y385">
        <v>388.8</v>
      </c>
      <c r="Z385">
        <v>244.8</v>
      </c>
      <c r="AA385" t="s">
        <v>17</v>
      </c>
      <c r="AB385" t="s">
        <v>44</v>
      </c>
      <c r="AC385">
        <v>4</v>
      </c>
      <c r="AD385" t="s">
        <v>105</v>
      </c>
      <c r="AE385" t="s">
        <v>95</v>
      </c>
      <c r="AF385" t="str">
        <f t="shared" si="11"/>
        <v>No</v>
      </c>
    </row>
    <row r="386" spans="1:32" x14ac:dyDescent="0.3">
      <c r="A386" t="s">
        <v>882</v>
      </c>
      <c r="B386" s="1">
        <v>45759</v>
      </c>
      <c r="C386" t="s">
        <v>396</v>
      </c>
      <c r="D386">
        <f t="shared" ref="D386:D449" si="12">HOUR(C386)</f>
        <v>16</v>
      </c>
      <c r="E386" t="s">
        <v>60</v>
      </c>
      <c r="F386" t="s">
        <v>48</v>
      </c>
      <c r="G386" t="s">
        <v>132</v>
      </c>
      <c r="H386" t="s">
        <v>61</v>
      </c>
      <c r="I386" t="s">
        <v>62</v>
      </c>
      <c r="J386" t="s">
        <v>7</v>
      </c>
      <c r="K386" t="s">
        <v>182</v>
      </c>
      <c r="L386" t="s">
        <v>883</v>
      </c>
      <c r="M386" t="s">
        <v>169</v>
      </c>
      <c r="N386" t="s">
        <v>11</v>
      </c>
      <c r="O386">
        <v>34</v>
      </c>
      <c r="P386" t="s">
        <v>12</v>
      </c>
      <c r="Q386" t="s">
        <v>185</v>
      </c>
      <c r="R386" t="s">
        <v>186</v>
      </c>
      <c r="S386" t="s">
        <v>187</v>
      </c>
      <c r="T386" t="s">
        <v>35</v>
      </c>
      <c r="U386">
        <v>4</v>
      </c>
      <c r="V386">
        <v>57</v>
      </c>
      <c r="W386">
        <v>159.6</v>
      </c>
      <c r="X386">
        <v>5</v>
      </c>
      <c r="Y386">
        <v>606.48</v>
      </c>
      <c r="Z386">
        <v>378.48</v>
      </c>
      <c r="AA386" t="s">
        <v>69</v>
      </c>
      <c r="AB386" t="s">
        <v>119</v>
      </c>
      <c r="AC386">
        <v>5</v>
      </c>
      <c r="AD386" t="s">
        <v>19</v>
      </c>
      <c r="AE386" t="s">
        <v>20</v>
      </c>
      <c r="AF386" t="str">
        <f t="shared" si="11"/>
        <v>Yes</v>
      </c>
    </row>
    <row r="387" spans="1:32" x14ac:dyDescent="0.3">
      <c r="A387" t="s">
        <v>884</v>
      </c>
      <c r="B387" s="1">
        <v>45807</v>
      </c>
      <c r="C387" t="s">
        <v>417</v>
      </c>
      <c r="D387">
        <f t="shared" si="12"/>
        <v>16</v>
      </c>
      <c r="E387" t="s">
        <v>47</v>
      </c>
      <c r="F387" t="s">
        <v>48</v>
      </c>
      <c r="G387" t="s">
        <v>40</v>
      </c>
      <c r="H387" t="s">
        <v>61</v>
      </c>
      <c r="I387" t="s">
        <v>62</v>
      </c>
      <c r="J387" t="s">
        <v>7</v>
      </c>
      <c r="K387" t="s">
        <v>229</v>
      </c>
      <c r="L387" t="s">
        <v>885</v>
      </c>
      <c r="M387" t="s">
        <v>169</v>
      </c>
      <c r="N387" t="s">
        <v>30</v>
      </c>
      <c r="O387">
        <v>49</v>
      </c>
      <c r="P387" t="s">
        <v>76</v>
      </c>
      <c r="Q387" t="s">
        <v>226</v>
      </c>
      <c r="R387" t="s">
        <v>227</v>
      </c>
      <c r="S387" t="s">
        <v>68</v>
      </c>
      <c r="T387" t="s">
        <v>35</v>
      </c>
      <c r="U387">
        <v>1</v>
      </c>
      <c r="V387">
        <v>43</v>
      </c>
      <c r="W387">
        <v>94.6</v>
      </c>
      <c r="X387">
        <v>0</v>
      </c>
      <c r="Y387">
        <v>94.6</v>
      </c>
      <c r="Z387">
        <v>51.6</v>
      </c>
      <c r="AA387" t="s">
        <v>36</v>
      </c>
      <c r="AB387" t="s">
        <v>119</v>
      </c>
      <c r="AC387">
        <v>5</v>
      </c>
      <c r="AD387" t="s">
        <v>105</v>
      </c>
      <c r="AE387" t="s">
        <v>20</v>
      </c>
      <c r="AF387" t="str">
        <f t="shared" si="11"/>
        <v>Yes</v>
      </c>
    </row>
    <row r="388" spans="1:32" x14ac:dyDescent="0.3">
      <c r="A388" t="s">
        <v>886</v>
      </c>
      <c r="B388" s="1">
        <v>45726</v>
      </c>
      <c r="C388" t="s">
        <v>276</v>
      </c>
      <c r="D388">
        <f t="shared" si="12"/>
        <v>13</v>
      </c>
      <c r="E388" t="s">
        <v>72</v>
      </c>
      <c r="F388" t="s">
        <v>3</v>
      </c>
      <c r="G388" t="s">
        <v>23</v>
      </c>
      <c r="H388" t="s">
        <v>5</v>
      </c>
      <c r="I388" t="s">
        <v>6</v>
      </c>
      <c r="J388" t="s">
        <v>7</v>
      </c>
      <c r="K388" t="s">
        <v>83</v>
      </c>
      <c r="L388" t="s">
        <v>260</v>
      </c>
      <c r="M388" t="s">
        <v>29</v>
      </c>
      <c r="N388" t="s">
        <v>11</v>
      </c>
      <c r="O388">
        <v>62</v>
      </c>
      <c r="P388" t="s">
        <v>31</v>
      </c>
      <c r="Q388" t="s">
        <v>518</v>
      </c>
      <c r="R388" t="s">
        <v>519</v>
      </c>
      <c r="S388" t="s">
        <v>242</v>
      </c>
      <c r="T388" t="s">
        <v>35</v>
      </c>
      <c r="U388">
        <v>2</v>
      </c>
      <c r="V388">
        <v>88</v>
      </c>
      <c r="W388">
        <v>193.6</v>
      </c>
      <c r="X388">
        <v>5</v>
      </c>
      <c r="Y388">
        <v>367.84</v>
      </c>
      <c r="Z388">
        <v>191.84</v>
      </c>
      <c r="AA388" t="s">
        <v>69</v>
      </c>
      <c r="AB388" t="s">
        <v>44</v>
      </c>
      <c r="AD388" t="s">
        <v>105</v>
      </c>
      <c r="AE388" t="s">
        <v>20</v>
      </c>
      <c r="AF388" t="str">
        <f t="shared" ref="AF388:AF451" si="13">IF(AE388="Completed","Yes",IF(AE388="Cancelled","No","Review"))</f>
        <v>Yes</v>
      </c>
    </row>
    <row r="389" spans="1:32" x14ac:dyDescent="0.3">
      <c r="A389" t="s">
        <v>887</v>
      </c>
      <c r="B389" s="1">
        <v>45826</v>
      </c>
      <c r="C389" t="s">
        <v>373</v>
      </c>
      <c r="D389">
        <f t="shared" si="12"/>
        <v>9</v>
      </c>
      <c r="E389" t="s">
        <v>131</v>
      </c>
      <c r="F389" t="s">
        <v>48</v>
      </c>
      <c r="G389" t="s">
        <v>73</v>
      </c>
      <c r="H389" t="s">
        <v>159</v>
      </c>
      <c r="I389" t="s">
        <v>160</v>
      </c>
      <c r="J389" t="s">
        <v>161</v>
      </c>
      <c r="K389" t="s">
        <v>196</v>
      </c>
      <c r="L389" t="s">
        <v>246</v>
      </c>
      <c r="M389" t="s">
        <v>53</v>
      </c>
      <c r="N389" t="s">
        <v>30</v>
      </c>
      <c r="O389">
        <v>62</v>
      </c>
      <c r="P389" t="s">
        <v>91</v>
      </c>
      <c r="Q389" t="s">
        <v>308</v>
      </c>
      <c r="R389" t="s">
        <v>309</v>
      </c>
      <c r="S389" t="s">
        <v>187</v>
      </c>
      <c r="T389" t="s">
        <v>35</v>
      </c>
      <c r="U389">
        <v>3</v>
      </c>
      <c r="V389">
        <v>31</v>
      </c>
      <c r="W389">
        <v>77.5</v>
      </c>
      <c r="X389">
        <v>0</v>
      </c>
      <c r="Y389">
        <v>232.5</v>
      </c>
      <c r="Z389">
        <v>139.5</v>
      </c>
      <c r="AA389" t="s">
        <v>179</v>
      </c>
      <c r="AB389" t="s">
        <v>129</v>
      </c>
      <c r="AC389">
        <v>5</v>
      </c>
      <c r="AD389" t="s">
        <v>105</v>
      </c>
      <c r="AE389" t="s">
        <v>20</v>
      </c>
      <c r="AF389" t="str">
        <f t="shared" si="13"/>
        <v>Yes</v>
      </c>
    </row>
    <row r="390" spans="1:32" x14ac:dyDescent="0.3">
      <c r="A390" t="s">
        <v>888</v>
      </c>
      <c r="B390" s="1">
        <v>45668</v>
      </c>
      <c r="C390" t="s">
        <v>121</v>
      </c>
      <c r="D390">
        <f t="shared" si="12"/>
        <v>9</v>
      </c>
      <c r="E390" t="s">
        <v>2</v>
      </c>
      <c r="F390" t="s">
        <v>3</v>
      </c>
      <c r="G390" t="s">
        <v>132</v>
      </c>
      <c r="H390" t="s">
        <v>150</v>
      </c>
      <c r="I390" t="s">
        <v>151</v>
      </c>
      <c r="J390" t="s">
        <v>152</v>
      </c>
      <c r="K390" t="s">
        <v>114</v>
      </c>
      <c r="L390" t="s">
        <v>889</v>
      </c>
      <c r="M390" t="s">
        <v>261</v>
      </c>
      <c r="N390" t="s">
        <v>11</v>
      </c>
      <c r="O390">
        <v>35</v>
      </c>
      <c r="P390" t="s">
        <v>54</v>
      </c>
      <c r="Q390" t="s">
        <v>240</v>
      </c>
      <c r="R390" t="s">
        <v>241</v>
      </c>
      <c r="S390" t="s">
        <v>242</v>
      </c>
      <c r="T390" t="s">
        <v>35</v>
      </c>
      <c r="U390">
        <v>4</v>
      </c>
      <c r="V390">
        <v>89</v>
      </c>
      <c r="W390">
        <v>267</v>
      </c>
      <c r="X390">
        <v>0</v>
      </c>
      <c r="Y390">
        <v>1068</v>
      </c>
      <c r="Z390">
        <v>712</v>
      </c>
      <c r="AA390" t="s">
        <v>43</v>
      </c>
      <c r="AB390" t="s">
        <v>119</v>
      </c>
      <c r="AC390">
        <v>4</v>
      </c>
      <c r="AD390" t="s">
        <v>105</v>
      </c>
      <c r="AE390" t="s">
        <v>20</v>
      </c>
      <c r="AF390" t="str">
        <f t="shared" si="13"/>
        <v>Yes</v>
      </c>
    </row>
    <row r="391" spans="1:32" x14ac:dyDescent="0.3">
      <c r="A391" t="s">
        <v>890</v>
      </c>
      <c r="B391" s="1">
        <v>45778</v>
      </c>
      <c r="C391" t="s">
        <v>568</v>
      </c>
      <c r="D391">
        <f t="shared" si="12"/>
        <v>11</v>
      </c>
      <c r="E391" t="s">
        <v>47</v>
      </c>
      <c r="F391" t="s">
        <v>48</v>
      </c>
      <c r="G391" t="s">
        <v>98</v>
      </c>
      <c r="H391" t="s">
        <v>24</v>
      </c>
      <c r="I391" t="s">
        <v>25</v>
      </c>
      <c r="J391" t="s">
        <v>26</v>
      </c>
      <c r="K391" t="s">
        <v>229</v>
      </c>
      <c r="L391" t="s">
        <v>835</v>
      </c>
      <c r="M391" t="s">
        <v>29</v>
      </c>
      <c r="N391" t="s">
        <v>30</v>
      </c>
      <c r="O391">
        <v>27</v>
      </c>
      <c r="P391" t="s">
        <v>12</v>
      </c>
      <c r="Q391" t="s">
        <v>13</v>
      </c>
      <c r="R391" t="s">
        <v>14</v>
      </c>
      <c r="S391" t="s">
        <v>15</v>
      </c>
      <c r="T391" t="s">
        <v>16</v>
      </c>
      <c r="U391">
        <v>3</v>
      </c>
      <c r="V391">
        <v>43</v>
      </c>
      <c r="W391">
        <v>129</v>
      </c>
      <c r="X391">
        <v>5</v>
      </c>
      <c r="Y391">
        <v>367.65</v>
      </c>
      <c r="Z391">
        <v>238.65</v>
      </c>
      <c r="AA391" t="s">
        <v>17</v>
      </c>
      <c r="AB391" t="s">
        <v>87</v>
      </c>
      <c r="AC391">
        <v>5</v>
      </c>
      <c r="AD391" t="s">
        <v>19</v>
      </c>
      <c r="AE391" t="s">
        <v>95</v>
      </c>
      <c r="AF391" t="str">
        <f t="shared" si="13"/>
        <v>No</v>
      </c>
    </row>
    <row r="392" spans="1:32" x14ac:dyDescent="0.3">
      <c r="A392" t="s">
        <v>891</v>
      </c>
      <c r="B392" s="1">
        <v>45831</v>
      </c>
      <c r="C392" t="s">
        <v>265</v>
      </c>
      <c r="D392">
        <f t="shared" si="12"/>
        <v>7</v>
      </c>
      <c r="E392" t="s">
        <v>131</v>
      </c>
      <c r="F392" t="s">
        <v>48</v>
      </c>
      <c r="G392" t="s">
        <v>23</v>
      </c>
      <c r="H392" t="s">
        <v>49</v>
      </c>
      <c r="I392" t="s">
        <v>50</v>
      </c>
      <c r="J392" t="s">
        <v>7</v>
      </c>
      <c r="K392" t="s">
        <v>311</v>
      </c>
      <c r="L392" t="s">
        <v>443</v>
      </c>
      <c r="M392" t="s">
        <v>10</v>
      </c>
      <c r="N392" t="s">
        <v>30</v>
      </c>
      <c r="O392">
        <v>16</v>
      </c>
      <c r="P392" t="s">
        <v>12</v>
      </c>
      <c r="Q392" t="s">
        <v>235</v>
      </c>
      <c r="R392" t="s">
        <v>236</v>
      </c>
      <c r="S392" t="s">
        <v>237</v>
      </c>
      <c r="T392" t="s">
        <v>35</v>
      </c>
      <c r="U392">
        <v>4</v>
      </c>
      <c r="V392">
        <v>22</v>
      </c>
      <c r="W392">
        <v>61.6</v>
      </c>
      <c r="X392">
        <v>15</v>
      </c>
      <c r="Y392">
        <v>209.44</v>
      </c>
      <c r="Z392">
        <v>121.44</v>
      </c>
      <c r="AA392" t="s">
        <v>36</v>
      </c>
      <c r="AB392" t="s">
        <v>44</v>
      </c>
      <c r="AC392">
        <v>4</v>
      </c>
      <c r="AD392" t="s">
        <v>105</v>
      </c>
      <c r="AE392" t="s">
        <v>20</v>
      </c>
      <c r="AF392" t="str">
        <f t="shared" si="13"/>
        <v>Yes</v>
      </c>
    </row>
    <row r="393" spans="1:32" x14ac:dyDescent="0.3">
      <c r="A393" t="s">
        <v>892</v>
      </c>
      <c r="B393" s="1">
        <v>45726</v>
      </c>
      <c r="C393" t="s">
        <v>463</v>
      </c>
      <c r="D393">
        <f t="shared" si="12"/>
        <v>12</v>
      </c>
      <c r="E393" t="s">
        <v>72</v>
      </c>
      <c r="F393" t="s">
        <v>3</v>
      </c>
      <c r="G393" t="s">
        <v>23</v>
      </c>
      <c r="H393" t="s">
        <v>61</v>
      </c>
      <c r="I393" t="s">
        <v>62</v>
      </c>
      <c r="J393" t="s">
        <v>7</v>
      </c>
      <c r="K393" t="s">
        <v>8</v>
      </c>
      <c r="L393" t="s">
        <v>200</v>
      </c>
      <c r="M393" t="s">
        <v>53</v>
      </c>
      <c r="N393" t="s">
        <v>11</v>
      </c>
      <c r="O393">
        <v>36</v>
      </c>
      <c r="P393" t="s">
        <v>76</v>
      </c>
      <c r="Q393" t="s">
        <v>291</v>
      </c>
      <c r="R393" t="s">
        <v>292</v>
      </c>
      <c r="S393" t="s">
        <v>242</v>
      </c>
      <c r="T393" t="s">
        <v>16</v>
      </c>
      <c r="U393">
        <v>1</v>
      </c>
      <c r="V393">
        <v>68</v>
      </c>
      <c r="W393">
        <v>204</v>
      </c>
      <c r="X393">
        <v>10</v>
      </c>
      <c r="Y393">
        <v>183.6</v>
      </c>
      <c r="Z393">
        <v>115.6</v>
      </c>
      <c r="AA393" t="s">
        <v>36</v>
      </c>
      <c r="AB393" t="s">
        <v>18</v>
      </c>
      <c r="AC393">
        <v>4</v>
      </c>
      <c r="AD393" t="s">
        <v>19</v>
      </c>
      <c r="AE393" t="s">
        <v>20</v>
      </c>
      <c r="AF393" t="str">
        <f t="shared" si="13"/>
        <v>Yes</v>
      </c>
    </row>
    <row r="394" spans="1:32" x14ac:dyDescent="0.3">
      <c r="A394" t="s">
        <v>893</v>
      </c>
      <c r="B394" s="1">
        <v>45743</v>
      </c>
      <c r="C394" t="s">
        <v>250</v>
      </c>
      <c r="D394">
        <f t="shared" si="12"/>
        <v>13</v>
      </c>
      <c r="E394" t="s">
        <v>72</v>
      </c>
      <c r="F394" t="s">
        <v>3</v>
      </c>
      <c r="G394" t="s">
        <v>98</v>
      </c>
      <c r="H394" t="s">
        <v>61</v>
      </c>
      <c r="I394" t="s">
        <v>62</v>
      </c>
      <c r="J394" t="s">
        <v>7</v>
      </c>
      <c r="K394" t="s">
        <v>323</v>
      </c>
      <c r="L394" t="s">
        <v>744</v>
      </c>
      <c r="M394" t="s">
        <v>184</v>
      </c>
      <c r="N394" t="s">
        <v>30</v>
      </c>
      <c r="O394">
        <v>30</v>
      </c>
      <c r="P394" t="s">
        <v>91</v>
      </c>
      <c r="Q394" t="s">
        <v>710</v>
      </c>
      <c r="R394" t="s">
        <v>711</v>
      </c>
      <c r="S394" t="s">
        <v>94</v>
      </c>
      <c r="T394" t="s">
        <v>16</v>
      </c>
      <c r="U394">
        <v>4</v>
      </c>
      <c r="V394">
        <v>83</v>
      </c>
      <c r="W394">
        <v>182.6</v>
      </c>
      <c r="X394">
        <v>15</v>
      </c>
      <c r="Y394">
        <v>620.84</v>
      </c>
      <c r="Z394">
        <v>288.83999999999997</v>
      </c>
      <c r="AA394" t="s">
        <v>17</v>
      </c>
      <c r="AB394" t="s">
        <v>37</v>
      </c>
      <c r="AC394">
        <v>3</v>
      </c>
      <c r="AD394" t="s">
        <v>105</v>
      </c>
      <c r="AE394" t="s">
        <v>20</v>
      </c>
      <c r="AF394" t="str">
        <f t="shared" si="13"/>
        <v>Yes</v>
      </c>
    </row>
    <row r="395" spans="1:32" x14ac:dyDescent="0.3">
      <c r="A395" t="s">
        <v>894</v>
      </c>
      <c r="B395" s="1">
        <v>45675</v>
      </c>
      <c r="C395" t="s">
        <v>39</v>
      </c>
      <c r="D395">
        <f t="shared" si="12"/>
        <v>18</v>
      </c>
      <c r="E395" t="s">
        <v>2</v>
      </c>
      <c r="F395" t="s">
        <v>3</v>
      </c>
      <c r="G395" t="s">
        <v>132</v>
      </c>
      <c r="H395" t="s">
        <v>164</v>
      </c>
      <c r="I395" t="s">
        <v>165</v>
      </c>
      <c r="J395" t="s">
        <v>166</v>
      </c>
      <c r="K395" t="s">
        <v>83</v>
      </c>
      <c r="L395" t="s">
        <v>895</v>
      </c>
      <c r="M395" t="s">
        <v>65</v>
      </c>
      <c r="N395" t="s">
        <v>11</v>
      </c>
      <c r="O395">
        <v>55</v>
      </c>
      <c r="P395" t="s">
        <v>12</v>
      </c>
      <c r="Q395" t="s">
        <v>605</v>
      </c>
      <c r="R395" t="s">
        <v>606</v>
      </c>
      <c r="S395" t="s">
        <v>237</v>
      </c>
      <c r="T395" t="s">
        <v>35</v>
      </c>
      <c r="U395">
        <v>3</v>
      </c>
      <c r="V395">
        <v>79</v>
      </c>
      <c r="W395">
        <v>173.8</v>
      </c>
      <c r="X395">
        <v>15</v>
      </c>
      <c r="Y395">
        <v>443.19</v>
      </c>
      <c r="Z395">
        <v>206.19</v>
      </c>
      <c r="AA395" t="s">
        <v>17</v>
      </c>
      <c r="AB395" t="s">
        <v>119</v>
      </c>
      <c r="AC395">
        <v>4</v>
      </c>
      <c r="AD395" t="s">
        <v>105</v>
      </c>
      <c r="AE395" t="s">
        <v>95</v>
      </c>
      <c r="AF395" t="str">
        <f t="shared" si="13"/>
        <v>No</v>
      </c>
    </row>
    <row r="396" spans="1:32" x14ac:dyDescent="0.3">
      <c r="A396" t="s">
        <v>896</v>
      </c>
      <c r="B396" s="1">
        <v>45813</v>
      </c>
      <c r="C396" t="s">
        <v>463</v>
      </c>
      <c r="D396">
        <f t="shared" si="12"/>
        <v>12</v>
      </c>
      <c r="E396" t="s">
        <v>131</v>
      </c>
      <c r="F396" t="s">
        <v>48</v>
      </c>
      <c r="G396" t="s">
        <v>98</v>
      </c>
      <c r="H396" t="s">
        <v>122</v>
      </c>
      <c r="I396" t="s">
        <v>123</v>
      </c>
      <c r="J396" t="s">
        <v>7</v>
      </c>
      <c r="K396" t="s">
        <v>270</v>
      </c>
      <c r="L396" t="s">
        <v>897</v>
      </c>
      <c r="M396" t="s">
        <v>184</v>
      </c>
      <c r="N396" t="s">
        <v>11</v>
      </c>
      <c r="O396">
        <v>54</v>
      </c>
      <c r="P396" t="s">
        <v>91</v>
      </c>
      <c r="Q396" t="s">
        <v>126</v>
      </c>
      <c r="R396" t="s">
        <v>127</v>
      </c>
      <c r="S396" t="s">
        <v>128</v>
      </c>
      <c r="T396" t="s">
        <v>35</v>
      </c>
      <c r="U396">
        <v>4</v>
      </c>
      <c r="V396">
        <v>69</v>
      </c>
      <c r="W396">
        <v>193.2</v>
      </c>
      <c r="X396">
        <v>5</v>
      </c>
      <c r="Y396">
        <v>734.16</v>
      </c>
      <c r="Z396">
        <v>458.16</v>
      </c>
      <c r="AA396" t="s">
        <v>36</v>
      </c>
      <c r="AB396" t="s">
        <v>87</v>
      </c>
      <c r="AC396">
        <v>3</v>
      </c>
      <c r="AD396" t="s">
        <v>105</v>
      </c>
      <c r="AE396" t="s">
        <v>20</v>
      </c>
      <c r="AF396" t="str">
        <f t="shared" si="13"/>
        <v>Yes</v>
      </c>
    </row>
    <row r="397" spans="1:32" x14ac:dyDescent="0.3">
      <c r="A397" t="s">
        <v>898</v>
      </c>
      <c r="B397" s="1">
        <v>45760</v>
      </c>
      <c r="C397" t="s">
        <v>298</v>
      </c>
      <c r="D397">
        <f t="shared" si="12"/>
        <v>11</v>
      </c>
      <c r="E397" t="s">
        <v>60</v>
      </c>
      <c r="F397" t="s">
        <v>48</v>
      </c>
      <c r="G397" t="s">
        <v>4</v>
      </c>
      <c r="H397" t="s">
        <v>49</v>
      </c>
      <c r="I397" t="s">
        <v>50</v>
      </c>
      <c r="J397" t="s">
        <v>7</v>
      </c>
      <c r="K397" t="s">
        <v>346</v>
      </c>
      <c r="L397" t="s">
        <v>899</v>
      </c>
      <c r="M397" t="s">
        <v>29</v>
      </c>
      <c r="N397" t="s">
        <v>30</v>
      </c>
      <c r="O397">
        <v>43</v>
      </c>
      <c r="P397" t="s">
        <v>91</v>
      </c>
      <c r="Q397" t="s">
        <v>155</v>
      </c>
      <c r="R397" t="s">
        <v>156</v>
      </c>
      <c r="S397" t="s">
        <v>34</v>
      </c>
      <c r="T397" t="s">
        <v>16</v>
      </c>
      <c r="U397">
        <v>2</v>
      </c>
      <c r="V397">
        <v>40</v>
      </c>
      <c r="W397">
        <v>100</v>
      </c>
      <c r="X397">
        <v>15</v>
      </c>
      <c r="Y397">
        <v>170</v>
      </c>
      <c r="Z397">
        <v>90</v>
      </c>
      <c r="AA397" t="s">
        <v>36</v>
      </c>
      <c r="AB397" t="s">
        <v>129</v>
      </c>
      <c r="AC397">
        <v>3</v>
      </c>
      <c r="AD397" t="s">
        <v>19</v>
      </c>
      <c r="AE397" t="s">
        <v>95</v>
      </c>
      <c r="AF397" t="str">
        <f t="shared" si="13"/>
        <v>No</v>
      </c>
    </row>
    <row r="398" spans="1:32" x14ac:dyDescent="0.3">
      <c r="A398" t="s">
        <v>900</v>
      </c>
      <c r="B398" s="1">
        <v>45801</v>
      </c>
      <c r="C398" t="s">
        <v>351</v>
      </c>
      <c r="D398">
        <f t="shared" si="12"/>
        <v>9</v>
      </c>
      <c r="E398" t="s">
        <v>47</v>
      </c>
      <c r="F398" t="s">
        <v>48</v>
      </c>
      <c r="G398" t="s">
        <v>132</v>
      </c>
      <c r="H398" t="s">
        <v>99</v>
      </c>
      <c r="I398" t="s">
        <v>100</v>
      </c>
      <c r="J398" t="s">
        <v>101</v>
      </c>
      <c r="K398" t="s">
        <v>167</v>
      </c>
      <c r="L398" t="s">
        <v>863</v>
      </c>
      <c r="M398" t="s">
        <v>10</v>
      </c>
      <c r="N398" t="s">
        <v>11</v>
      </c>
      <c r="O398">
        <v>55</v>
      </c>
      <c r="P398" t="s">
        <v>54</v>
      </c>
      <c r="Q398" t="s">
        <v>230</v>
      </c>
      <c r="R398" t="s">
        <v>231</v>
      </c>
      <c r="S398" t="s">
        <v>128</v>
      </c>
      <c r="T398" t="s">
        <v>35</v>
      </c>
      <c r="U398">
        <v>1</v>
      </c>
      <c r="V398">
        <v>62</v>
      </c>
      <c r="W398">
        <v>186</v>
      </c>
      <c r="X398">
        <v>5</v>
      </c>
      <c r="Y398">
        <v>176.7</v>
      </c>
      <c r="Z398">
        <v>114.7</v>
      </c>
      <c r="AA398" t="s">
        <v>17</v>
      </c>
      <c r="AB398" t="s">
        <v>129</v>
      </c>
      <c r="AC398">
        <v>4</v>
      </c>
      <c r="AD398" t="s">
        <v>105</v>
      </c>
      <c r="AE398" t="s">
        <v>20</v>
      </c>
      <c r="AF398" t="str">
        <f t="shared" si="13"/>
        <v>Yes</v>
      </c>
    </row>
    <row r="399" spans="1:32" x14ac:dyDescent="0.3">
      <c r="A399" t="s">
        <v>901</v>
      </c>
      <c r="B399" s="1">
        <v>45693</v>
      </c>
      <c r="C399" t="s">
        <v>46</v>
      </c>
      <c r="D399">
        <f t="shared" si="12"/>
        <v>19</v>
      </c>
      <c r="E399" t="s">
        <v>145</v>
      </c>
      <c r="F399" t="s">
        <v>3</v>
      </c>
      <c r="G399" t="s">
        <v>73</v>
      </c>
      <c r="H399" t="s">
        <v>81</v>
      </c>
      <c r="I399" t="s">
        <v>82</v>
      </c>
      <c r="J399" t="s">
        <v>7</v>
      </c>
      <c r="K399" t="s">
        <v>74</v>
      </c>
      <c r="L399" t="s">
        <v>288</v>
      </c>
      <c r="M399" t="s">
        <v>29</v>
      </c>
      <c r="N399" t="s">
        <v>11</v>
      </c>
      <c r="O399">
        <v>41</v>
      </c>
      <c r="P399" t="s">
        <v>31</v>
      </c>
      <c r="Q399" t="s">
        <v>267</v>
      </c>
      <c r="R399" t="s">
        <v>268</v>
      </c>
      <c r="S399" t="s">
        <v>15</v>
      </c>
      <c r="T399" t="s">
        <v>35</v>
      </c>
      <c r="U399">
        <v>1</v>
      </c>
      <c r="V399">
        <v>87</v>
      </c>
      <c r="W399">
        <v>261</v>
      </c>
      <c r="X399">
        <v>15</v>
      </c>
      <c r="Y399">
        <v>221.85</v>
      </c>
      <c r="Z399">
        <v>134.85</v>
      </c>
      <c r="AA399" t="s">
        <v>69</v>
      </c>
      <c r="AB399" t="s">
        <v>44</v>
      </c>
      <c r="AC399">
        <v>4</v>
      </c>
      <c r="AD399" t="s">
        <v>19</v>
      </c>
      <c r="AE399" t="s">
        <v>20</v>
      </c>
      <c r="AF399" t="str">
        <f t="shared" si="13"/>
        <v>Yes</v>
      </c>
    </row>
    <row r="400" spans="1:32" x14ac:dyDescent="0.3">
      <c r="A400" t="s">
        <v>902</v>
      </c>
      <c r="B400" s="1">
        <v>45741</v>
      </c>
      <c r="C400" t="s">
        <v>345</v>
      </c>
      <c r="D400">
        <f t="shared" si="12"/>
        <v>18</v>
      </c>
      <c r="E400" t="s">
        <v>72</v>
      </c>
      <c r="F400" t="s">
        <v>3</v>
      </c>
      <c r="G400" t="s">
        <v>181</v>
      </c>
      <c r="H400" t="s">
        <v>122</v>
      </c>
      <c r="I400" t="s">
        <v>123</v>
      </c>
      <c r="J400" t="s">
        <v>7</v>
      </c>
      <c r="K400" t="s">
        <v>146</v>
      </c>
      <c r="L400" t="s">
        <v>430</v>
      </c>
      <c r="M400" t="s">
        <v>10</v>
      </c>
      <c r="N400" t="s">
        <v>30</v>
      </c>
      <c r="O400">
        <v>58</v>
      </c>
      <c r="P400" t="s">
        <v>54</v>
      </c>
      <c r="Q400" t="s">
        <v>280</v>
      </c>
      <c r="R400" t="s">
        <v>281</v>
      </c>
      <c r="S400" t="s">
        <v>218</v>
      </c>
      <c r="T400" t="s">
        <v>16</v>
      </c>
      <c r="U400">
        <v>2</v>
      </c>
      <c r="V400">
        <v>34</v>
      </c>
      <c r="W400">
        <v>74.8</v>
      </c>
      <c r="X400">
        <v>15</v>
      </c>
      <c r="Y400">
        <v>127.16</v>
      </c>
      <c r="Z400">
        <v>59.16</v>
      </c>
      <c r="AA400" t="s">
        <v>17</v>
      </c>
      <c r="AB400" t="s">
        <v>87</v>
      </c>
      <c r="AC400">
        <v>5</v>
      </c>
      <c r="AD400" t="s">
        <v>19</v>
      </c>
      <c r="AE400" t="s">
        <v>20</v>
      </c>
      <c r="AF400" t="str">
        <f t="shared" si="13"/>
        <v>Yes</v>
      </c>
    </row>
    <row r="401" spans="1:32" x14ac:dyDescent="0.3">
      <c r="A401" t="s">
        <v>903</v>
      </c>
      <c r="B401" s="1">
        <v>45727</v>
      </c>
      <c r="C401" t="s">
        <v>144</v>
      </c>
      <c r="D401">
        <f t="shared" si="12"/>
        <v>20</v>
      </c>
      <c r="E401" t="s">
        <v>72</v>
      </c>
      <c r="F401" t="s">
        <v>3</v>
      </c>
      <c r="G401" t="s">
        <v>181</v>
      </c>
      <c r="H401" t="s">
        <v>61</v>
      </c>
      <c r="I401" t="s">
        <v>62</v>
      </c>
      <c r="J401" t="s">
        <v>7</v>
      </c>
      <c r="K401" t="s">
        <v>27</v>
      </c>
      <c r="L401" t="s">
        <v>904</v>
      </c>
      <c r="M401" t="s">
        <v>225</v>
      </c>
      <c r="N401" t="s">
        <v>30</v>
      </c>
      <c r="O401">
        <v>42</v>
      </c>
      <c r="P401" t="s">
        <v>54</v>
      </c>
      <c r="Q401" t="s">
        <v>55</v>
      </c>
      <c r="R401" t="s">
        <v>56</v>
      </c>
      <c r="S401" t="s">
        <v>57</v>
      </c>
      <c r="T401" t="s">
        <v>35</v>
      </c>
      <c r="U401">
        <v>2</v>
      </c>
      <c r="V401">
        <v>36</v>
      </c>
      <c r="W401">
        <v>79.2</v>
      </c>
      <c r="X401">
        <v>15</v>
      </c>
      <c r="Y401">
        <v>134.63999999999999</v>
      </c>
      <c r="Z401">
        <v>62.64</v>
      </c>
      <c r="AA401" t="s">
        <v>69</v>
      </c>
      <c r="AB401" t="s">
        <v>44</v>
      </c>
      <c r="AC401">
        <v>4</v>
      </c>
      <c r="AD401" t="s">
        <v>105</v>
      </c>
      <c r="AE401" t="s">
        <v>20</v>
      </c>
      <c r="AF401" t="str">
        <f t="shared" si="13"/>
        <v>Yes</v>
      </c>
    </row>
    <row r="402" spans="1:32" x14ac:dyDescent="0.3">
      <c r="A402" t="s">
        <v>905</v>
      </c>
      <c r="B402" s="1">
        <v>45671</v>
      </c>
      <c r="C402" t="s">
        <v>207</v>
      </c>
      <c r="D402">
        <f t="shared" si="12"/>
        <v>20</v>
      </c>
      <c r="E402" t="s">
        <v>2</v>
      </c>
      <c r="F402" t="s">
        <v>3</v>
      </c>
      <c r="G402" t="s">
        <v>181</v>
      </c>
      <c r="H402" t="s">
        <v>159</v>
      </c>
      <c r="I402" t="s">
        <v>160</v>
      </c>
      <c r="J402" t="s">
        <v>161</v>
      </c>
      <c r="K402" t="s">
        <v>83</v>
      </c>
      <c r="L402" t="s">
        <v>906</v>
      </c>
      <c r="M402" t="s">
        <v>10</v>
      </c>
      <c r="N402" t="s">
        <v>11</v>
      </c>
      <c r="O402">
        <v>18</v>
      </c>
      <c r="P402" t="s">
        <v>91</v>
      </c>
      <c r="Q402" t="s">
        <v>66</v>
      </c>
      <c r="R402" t="s">
        <v>67</v>
      </c>
      <c r="S402" t="s">
        <v>68</v>
      </c>
      <c r="T402" t="s">
        <v>16</v>
      </c>
      <c r="U402">
        <v>2</v>
      </c>
      <c r="V402">
        <v>43</v>
      </c>
      <c r="W402">
        <v>120.4</v>
      </c>
      <c r="X402">
        <v>0</v>
      </c>
      <c r="Y402">
        <v>240.8</v>
      </c>
      <c r="Z402">
        <v>154.80000000000001</v>
      </c>
      <c r="AA402" t="s">
        <v>17</v>
      </c>
      <c r="AB402" t="s">
        <v>119</v>
      </c>
      <c r="AC402">
        <v>4</v>
      </c>
      <c r="AD402" t="s">
        <v>105</v>
      </c>
      <c r="AE402" t="s">
        <v>20</v>
      </c>
      <c r="AF402" t="str">
        <f t="shared" si="13"/>
        <v>Yes</v>
      </c>
    </row>
    <row r="403" spans="1:32" x14ac:dyDescent="0.3">
      <c r="A403" t="s">
        <v>907</v>
      </c>
      <c r="B403" s="1">
        <v>45730</v>
      </c>
      <c r="C403" t="s">
        <v>191</v>
      </c>
      <c r="D403">
        <f t="shared" si="12"/>
        <v>19</v>
      </c>
      <c r="E403" t="s">
        <v>72</v>
      </c>
      <c r="F403" t="s">
        <v>3</v>
      </c>
      <c r="G403" t="s">
        <v>40</v>
      </c>
      <c r="H403" t="s">
        <v>81</v>
      </c>
      <c r="I403" t="s">
        <v>82</v>
      </c>
      <c r="J403" t="s">
        <v>7</v>
      </c>
      <c r="K403" t="s">
        <v>311</v>
      </c>
      <c r="L403" t="s">
        <v>908</v>
      </c>
      <c r="M403" t="s">
        <v>140</v>
      </c>
      <c r="N403" t="s">
        <v>11</v>
      </c>
      <c r="O403">
        <v>41</v>
      </c>
      <c r="P403" t="s">
        <v>91</v>
      </c>
      <c r="Q403" t="s">
        <v>176</v>
      </c>
      <c r="R403" t="s">
        <v>177</v>
      </c>
      <c r="S403" t="s">
        <v>178</v>
      </c>
      <c r="T403" t="s">
        <v>16</v>
      </c>
      <c r="U403">
        <v>4</v>
      </c>
      <c r="V403">
        <v>56</v>
      </c>
      <c r="W403">
        <v>156.80000000000001</v>
      </c>
      <c r="X403">
        <v>5</v>
      </c>
      <c r="Y403">
        <v>595.84</v>
      </c>
      <c r="Z403">
        <v>371.84</v>
      </c>
      <c r="AA403" t="s">
        <v>36</v>
      </c>
      <c r="AB403" t="s">
        <v>37</v>
      </c>
      <c r="AC403">
        <v>5</v>
      </c>
      <c r="AD403" t="s">
        <v>19</v>
      </c>
      <c r="AE403" t="s">
        <v>95</v>
      </c>
      <c r="AF403" t="str">
        <f t="shared" si="13"/>
        <v>No</v>
      </c>
    </row>
    <row r="404" spans="1:32" x14ac:dyDescent="0.3">
      <c r="A404" t="s">
        <v>909</v>
      </c>
      <c r="B404" s="1">
        <v>45712</v>
      </c>
      <c r="C404" t="s">
        <v>554</v>
      </c>
      <c r="D404">
        <f t="shared" si="12"/>
        <v>11</v>
      </c>
      <c r="E404" t="s">
        <v>145</v>
      </c>
      <c r="F404" t="s">
        <v>3</v>
      </c>
      <c r="G404" t="s">
        <v>23</v>
      </c>
      <c r="H404" t="s">
        <v>81</v>
      </c>
      <c r="I404" t="s">
        <v>82</v>
      </c>
      <c r="J404" t="s">
        <v>7</v>
      </c>
      <c r="K404" t="s">
        <v>138</v>
      </c>
      <c r="L404" t="s">
        <v>910</v>
      </c>
      <c r="M404" t="s">
        <v>53</v>
      </c>
      <c r="N404" t="s">
        <v>30</v>
      </c>
      <c r="O404">
        <v>23</v>
      </c>
      <c r="P404" t="s">
        <v>76</v>
      </c>
      <c r="Q404" t="s">
        <v>185</v>
      </c>
      <c r="R404" t="s">
        <v>186</v>
      </c>
      <c r="S404" t="s">
        <v>187</v>
      </c>
      <c r="T404" t="s">
        <v>35</v>
      </c>
      <c r="U404">
        <v>4</v>
      </c>
      <c r="V404">
        <v>57</v>
      </c>
      <c r="W404">
        <v>159.6</v>
      </c>
      <c r="X404">
        <v>15</v>
      </c>
      <c r="Y404">
        <v>542.64</v>
      </c>
      <c r="Z404">
        <v>314.64</v>
      </c>
      <c r="AA404" t="s">
        <v>17</v>
      </c>
      <c r="AB404" t="s">
        <v>44</v>
      </c>
      <c r="AC404">
        <v>4</v>
      </c>
      <c r="AD404" t="s">
        <v>105</v>
      </c>
      <c r="AE404" t="s">
        <v>20</v>
      </c>
      <c r="AF404" t="str">
        <f t="shared" si="13"/>
        <v>Yes</v>
      </c>
    </row>
    <row r="405" spans="1:32" x14ac:dyDescent="0.3">
      <c r="A405" t="s">
        <v>911</v>
      </c>
      <c r="B405" s="1">
        <v>45823</v>
      </c>
      <c r="C405" t="s">
        <v>399</v>
      </c>
      <c r="D405">
        <f t="shared" si="12"/>
        <v>20</v>
      </c>
      <c r="E405" t="s">
        <v>131</v>
      </c>
      <c r="F405" t="s">
        <v>48</v>
      </c>
      <c r="G405" t="s">
        <v>4</v>
      </c>
      <c r="H405" t="s">
        <v>61</v>
      </c>
      <c r="I405" t="s">
        <v>62</v>
      </c>
      <c r="J405" t="s">
        <v>7</v>
      </c>
      <c r="K405" t="s">
        <v>124</v>
      </c>
      <c r="L405" t="s">
        <v>408</v>
      </c>
      <c r="M405" t="s">
        <v>184</v>
      </c>
      <c r="N405" t="s">
        <v>30</v>
      </c>
      <c r="O405">
        <v>31</v>
      </c>
      <c r="P405" t="s">
        <v>12</v>
      </c>
      <c r="Q405" t="s">
        <v>55</v>
      </c>
      <c r="R405" t="s">
        <v>56</v>
      </c>
      <c r="S405" t="s">
        <v>57</v>
      </c>
      <c r="T405" t="s">
        <v>35</v>
      </c>
      <c r="U405">
        <v>1</v>
      </c>
      <c r="V405">
        <v>36</v>
      </c>
      <c r="W405">
        <v>79.2</v>
      </c>
      <c r="X405">
        <v>5</v>
      </c>
      <c r="Y405">
        <v>75.239999999999995</v>
      </c>
      <c r="Z405">
        <v>39.24</v>
      </c>
      <c r="AA405" t="s">
        <v>43</v>
      </c>
      <c r="AB405" t="s">
        <v>119</v>
      </c>
      <c r="AC405">
        <v>5</v>
      </c>
      <c r="AD405" t="s">
        <v>105</v>
      </c>
      <c r="AE405" t="s">
        <v>20</v>
      </c>
      <c r="AF405" t="str">
        <f t="shared" si="13"/>
        <v>Yes</v>
      </c>
    </row>
    <row r="406" spans="1:32" x14ac:dyDescent="0.3">
      <c r="A406" t="s">
        <v>912</v>
      </c>
      <c r="B406" s="1">
        <v>45837</v>
      </c>
      <c r="C406" t="s">
        <v>516</v>
      </c>
      <c r="D406">
        <f t="shared" si="12"/>
        <v>16</v>
      </c>
      <c r="E406" t="s">
        <v>131</v>
      </c>
      <c r="F406" t="s">
        <v>48</v>
      </c>
      <c r="G406" t="s">
        <v>4</v>
      </c>
      <c r="H406" t="s">
        <v>99</v>
      </c>
      <c r="I406" t="s">
        <v>100</v>
      </c>
      <c r="J406" t="s">
        <v>101</v>
      </c>
      <c r="K406" t="s">
        <v>27</v>
      </c>
      <c r="L406" t="s">
        <v>746</v>
      </c>
      <c r="M406" t="s">
        <v>29</v>
      </c>
      <c r="N406" t="s">
        <v>30</v>
      </c>
      <c r="O406">
        <v>37</v>
      </c>
      <c r="P406" t="s">
        <v>31</v>
      </c>
      <c r="Q406" t="s">
        <v>374</v>
      </c>
      <c r="R406" t="s">
        <v>375</v>
      </c>
      <c r="S406" t="s">
        <v>57</v>
      </c>
      <c r="T406" t="s">
        <v>16</v>
      </c>
      <c r="U406">
        <v>2</v>
      </c>
      <c r="V406">
        <v>80</v>
      </c>
      <c r="W406">
        <v>200</v>
      </c>
      <c r="X406">
        <v>0</v>
      </c>
      <c r="Y406">
        <v>400</v>
      </c>
      <c r="Z406">
        <v>240</v>
      </c>
      <c r="AA406" t="s">
        <v>17</v>
      </c>
      <c r="AB406" t="s">
        <v>119</v>
      </c>
      <c r="AC406">
        <v>3</v>
      </c>
      <c r="AD406" t="s">
        <v>19</v>
      </c>
      <c r="AE406" t="s">
        <v>20</v>
      </c>
      <c r="AF406" t="str">
        <f t="shared" si="13"/>
        <v>Yes</v>
      </c>
    </row>
    <row r="407" spans="1:32" x14ac:dyDescent="0.3">
      <c r="A407" t="s">
        <v>913</v>
      </c>
      <c r="B407" s="1">
        <v>45678</v>
      </c>
      <c r="C407" t="s">
        <v>144</v>
      </c>
      <c r="D407">
        <f t="shared" si="12"/>
        <v>20</v>
      </c>
      <c r="E407" t="s">
        <v>2</v>
      </c>
      <c r="F407" t="s">
        <v>3</v>
      </c>
      <c r="G407" t="s">
        <v>181</v>
      </c>
      <c r="H407" t="s">
        <v>24</v>
      </c>
      <c r="I407" t="s">
        <v>25</v>
      </c>
      <c r="J407" t="s">
        <v>26</v>
      </c>
      <c r="K407" t="s">
        <v>138</v>
      </c>
      <c r="L407" t="s">
        <v>220</v>
      </c>
      <c r="M407" t="s">
        <v>169</v>
      </c>
      <c r="N407" t="s">
        <v>11</v>
      </c>
      <c r="O407">
        <v>31</v>
      </c>
      <c r="P407" t="s">
        <v>31</v>
      </c>
      <c r="Q407" t="s">
        <v>390</v>
      </c>
      <c r="R407" t="s">
        <v>391</v>
      </c>
      <c r="S407" t="s">
        <v>172</v>
      </c>
      <c r="T407" t="s">
        <v>16</v>
      </c>
      <c r="U407">
        <v>1</v>
      </c>
      <c r="V407">
        <v>69</v>
      </c>
      <c r="W407">
        <v>193.2</v>
      </c>
      <c r="X407">
        <v>0</v>
      </c>
      <c r="Y407">
        <v>193.2</v>
      </c>
      <c r="Z407">
        <v>124.2</v>
      </c>
      <c r="AA407" t="s">
        <v>69</v>
      </c>
      <c r="AB407" t="s">
        <v>44</v>
      </c>
      <c r="AC407">
        <v>3</v>
      </c>
      <c r="AD407" t="s">
        <v>19</v>
      </c>
      <c r="AE407" t="s">
        <v>20</v>
      </c>
      <c r="AF407" t="str">
        <f t="shared" si="13"/>
        <v>Yes</v>
      </c>
    </row>
    <row r="408" spans="1:32" x14ac:dyDescent="0.3">
      <c r="A408" t="s">
        <v>914</v>
      </c>
      <c r="B408" s="1">
        <v>45790</v>
      </c>
      <c r="C408" t="s">
        <v>259</v>
      </c>
      <c r="D408">
        <f t="shared" si="12"/>
        <v>18</v>
      </c>
      <c r="E408" t="s">
        <v>47</v>
      </c>
      <c r="F408" t="s">
        <v>48</v>
      </c>
      <c r="G408" t="s">
        <v>181</v>
      </c>
      <c r="H408" t="s">
        <v>81</v>
      </c>
      <c r="I408" t="s">
        <v>82</v>
      </c>
      <c r="J408" t="s">
        <v>7</v>
      </c>
      <c r="K408" t="s">
        <v>146</v>
      </c>
      <c r="L408" t="s">
        <v>450</v>
      </c>
      <c r="M408" t="s">
        <v>10</v>
      </c>
      <c r="N408" t="s">
        <v>11</v>
      </c>
      <c r="O408">
        <v>39</v>
      </c>
      <c r="P408" t="s">
        <v>54</v>
      </c>
      <c r="Q408" t="s">
        <v>141</v>
      </c>
      <c r="R408" t="s">
        <v>142</v>
      </c>
      <c r="S408" t="s">
        <v>111</v>
      </c>
      <c r="T408" t="s">
        <v>16</v>
      </c>
      <c r="U408">
        <v>4</v>
      </c>
      <c r="V408">
        <v>35</v>
      </c>
      <c r="W408">
        <v>77</v>
      </c>
      <c r="X408">
        <v>10</v>
      </c>
      <c r="Y408">
        <v>277.2</v>
      </c>
      <c r="Z408">
        <v>137.19999999999999</v>
      </c>
      <c r="AA408" t="s">
        <v>43</v>
      </c>
      <c r="AB408" t="s">
        <v>129</v>
      </c>
      <c r="AC408">
        <v>3</v>
      </c>
      <c r="AD408" t="s">
        <v>19</v>
      </c>
      <c r="AE408" t="s">
        <v>20</v>
      </c>
      <c r="AF408" t="str">
        <f t="shared" si="13"/>
        <v>Yes</v>
      </c>
    </row>
    <row r="409" spans="1:32" x14ac:dyDescent="0.3">
      <c r="A409" t="s">
        <v>915</v>
      </c>
      <c r="B409" s="1">
        <v>45833</v>
      </c>
      <c r="C409" t="s">
        <v>340</v>
      </c>
      <c r="D409">
        <f t="shared" si="12"/>
        <v>17</v>
      </c>
      <c r="E409" t="s">
        <v>131</v>
      </c>
      <c r="F409" t="s">
        <v>48</v>
      </c>
      <c r="G409" t="s">
        <v>73</v>
      </c>
      <c r="H409" t="s">
        <v>81</v>
      </c>
      <c r="I409" t="s">
        <v>82</v>
      </c>
      <c r="J409" t="s">
        <v>7</v>
      </c>
      <c r="K409" t="s">
        <v>352</v>
      </c>
      <c r="L409" t="s">
        <v>203</v>
      </c>
      <c r="M409" t="s">
        <v>140</v>
      </c>
      <c r="N409" t="s">
        <v>11</v>
      </c>
      <c r="O409">
        <v>62</v>
      </c>
      <c r="P409" t="s">
        <v>31</v>
      </c>
      <c r="Q409" t="s">
        <v>134</v>
      </c>
      <c r="R409" t="s">
        <v>135</v>
      </c>
      <c r="S409" t="s">
        <v>136</v>
      </c>
      <c r="T409" t="s">
        <v>35</v>
      </c>
      <c r="U409">
        <v>2</v>
      </c>
      <c r="V409">
        <v>20</v>
      </c>
      <c r="W409">
        <v>60</v>
      </c>
      <c r="X409">
        <v>15</v>
      </c>
      <c r="Y409">
        <v>102</v>
      </c>
      <c r="Z409">
        <v>62</v>
      </c>
      <c r="AA409" t="s">
        <v>69</v>
      </c>
      <c r="AB409" t="s">
        <v>18</v>
      </c>
      <c r="AC409">
        <v>4</v>
      </c>
      <c r="AD409" t="s">
        <v>19</v>
      </c>
      <c r="AE409" t="s">
        <v>20</v>
      </c>
      <c r="AF409" t="str">
        <f t="shared" si="13"/>
        <v>Yes</v>
      </c>
    </row>
    <row r="410" spans="1:32" x14ac:dyDescent="0.3">
      <c r="A410" t="s">
        <v>916</v>
      </c>
      <c r="B410" s="1">
        <v>45831</v>
      </c>
      <c r="C410" t="s">
        <v>113</v>
      </c>
      <c r="D410">
        <f t="shared" si="12"/>
        <v>8</v>
      </c>
      <c r="E410" t="s">
        <v>131</v>
      </c>
      <c r="F410" t="s">
        <v>48</v>
      </c>
      <c r="G410" t="s">
        <v>23</v>
      </c>
      <c r="H410" t="s">
        <v>99</v>
      </c>
      <c r="I410" t="s">
        <v>100</v>
      </c>
      <c r="J410" t="s">
        <v>101</v>
      </c>
      <c r="K410" t="s">
        <v>196</v>
      </c>
      <c r="L410" t="s">
        <v>64</v>
      </c>
      <c r="M410" t="s">
        <v>169</v>
      </c>
      <c r="N410" t="s">
        <v>30</v>
      </c>
      <c r="O410">
        <v>25</v>
      </c>
      <c r="P410" t="s">
        <v>12</v>
      </c>
      <c r="Q410" t="s">
        <v>518</v>
      </c>
      <c r="R410" t="s">
        <v>519</v>
      </c>
      <c r="S410" t="s">
        <v>242</v>
      </c>
      <c r="T410" t="s">
        <v>35</v>
      </c>
      <c r="U410">
        <v>4</v>
      </c>
      <c r="V410">
        <v>88</v>
      </c>
      <c r="W410">
        <v>193.6</v>
      </c>
      <c r="X410">
        <v>5</v>
      </c>
      <c r="Y410">
        <v>735.68</v>
      </c>
      <c r="Z410">
        <v>383.68</v>
      </c>
      <c r="AA410" t="s">
        <v>69</v>
      </c>
      <c r="AB410" t="s">
        <v>37</v>
      </c>
      <c r="AC410">
        <v>5</v>
      </c>
      <c r="AD410" t="s">
        <v>105</v>
      </c>
      <c r="AE410" t="s">
        <v>95</v>
      </c>
      <c r="AF410" t="str">
        <f t="shared" si="13"/>
        <v>No</v>
      </c>
    </row>
    <row r="411" spans="1:32" x14ac:dyDescent="0.3">
      <c r="A411" t="s">
        <v>917</v>
      </c>
      <c r="B411" s="1">
        <v>45838</v>
      </c>
      <c r="C411" t="s">
        <v>233</v>
      </c>
      <c r="D411">
        <f t="shared" si="12"/>
        <v>18</v>
      </c>
      <c r="E411" t="s">
        <v>131</v>
      </c>
      <c r="F411" t="s">
        <v>48</v>
      </c>
      <c r="G411" t="s">
        <v>23</v>
      </c>
      <c r="H411" t="s">
        <v>99</v>
      </c>
      <c r="I411" t="s">
        <v>100</v>
      </c>
      <c r="J411" t="s">
        <v>101</v>
      </c>
      <c r="K411" t="s">
        <v>346</v>
      </c>
      <c r="L411" t="s">
        <v>523</v>
      </c>
      <c r="M411" t="s">
        <v>184</v>
      </c>
      <c r="N411" t="s">
        <v>11</v>
      </c>
      <c r="O411">
        <v>24</v>
      </c>
      <c r="P411" t="s">
        <v>12</v>
      </c>
      <c r="Q411" t="s">
        <v>77</v>
      </c>
      <c r="R411" t="s">
        <v>78</v>
      </c>
      <c r="S411" t="s">
        <v>68</v>
      </c>
      <c r="T411" t="s">
        <v>16</v>
      </c>
      <c r="U411">
        <v>3</v>
      </c>
      <c r="V411">
        <v>35</v>
      </c>
      <c r="W411">
        <v>105</v>
      </c>
      <c r="X411">
        <v>15</v>
      </c>
      <c r="Y411">
        <v>267.75</v>
      </c>
      <c r="Z411">
        <v>162.75</v>
      </c>
      <c r="AA411" t="s">
        <v>69</v>
      </c>
      <c r="AB411" t="s">
        <v>87</v>
      </c>
      <c r="AD411" t="s">
        <v>105</v>
      </c>
      <c r="AE411" t="s">
        <v>95</v>
      </c>
      <c r="AF411" t="str">
        <f t="shared" si="13"/>
        <v>No</v>
      </c>
    </row>
    <row r="412" spans="1:32" x14ac:dyDescent="0.3">
      <c r="A412" t="s">
        <v>918</v>
      </c>
      <c r="B412" s="1">
        <v>45669</v>
      </c>
      <c r="C412" t="s">
        <v>337</v>
      </c>
      <c r="D412">
        <f t="shared" si="12"/>
        <v>17</v>
      </c>
      <c r="E412" t="s">
        <v>2</v>
      </c>
      <c r="F412" t="s">
        <v>3</v>
      </c>
      <c r="G412" t="s">
        <v>4</v>
      </c>
      <c r="H412" t="s">
        <v>159</v>
      </c>
      <c r="I412" t="s">
        <v>160</v>
      </c>
      <c r="J412" t="s">
        <v>161</v>
      </c>
      <c r="K412" t="s">
        <v>41</v>
      </c>
      <c r="L412" t="s">
        <v>919</v>
      </c>
      <c r="M412" t="s">
        <v>29</v>
      </c>
      <c r="N412" t="s">
        <v>11</v>
      </c>
      <c r="O412">
        <v>60</v>
      </c>
      <c r="P412" t="s">
        <v>76</v>
      </c>
      <c r="Q412" t="s">
        <v>55</v>
      </c>
      <c r="R412" t="s">
        <v>56</v>
      </c>
      <c r="S412" t="s">
        <v>57</v>
      </c>
      <c r="T412" t="s">
        <v>35</v>
      </c>
      <c r="U412">
        <v>2</v>
      </c>
      <c r="V412">
        <v>36</v>
      </c>
      <c r="W412">
        <v>79.2</v>
      </c>
      <c r="X412">
        <v>15</v>
      </c>
      <c r="Y412">
        <v>134.63999999999999</v>
      </c>
      <c r="Z412">
        <v>62.64</v>
      </c>
      <c r="AA412" t="s">
        <v>179</v>
      </c>
      <c r="AB412" t="s">
        <v>44</v>
      </c>
      <c r="AC412">
        <v>4</v>
      </c>
      <c r="AD412" t="s">
        <v>105</v>
      </c>
      <c r="AE412" t="s">
        <v>20</v>
      </c>
      <c r="AF412" t="str">
        <f t="shared" si="13"/>
        <v>Yes</v>
      </c>
    </row>
    <row r="413" spans="1:32" x14ac:dyDescent="0.3">
      <c r="A413" t="s">
        <v>920</v>
      </c>
      <c r="B413" s="1">
        <v>45756</v>
      </c>
      <c r="C413" t="s">
        <v>144</v>
      </c>
      <c r="D413">
        <f t="shared" si="12"/>
        <v>20</v>
      </c>
      <c r="E413" t="s">
        <v>60</v>
      </c>
      <c r="F413" t="s">
        <v>48</v>
      </c>
      <c r="G413" t="s">
        <v>73</v>
      </c>
      <c r="H413" t="s">
        <v>99</v>
      </c>
      <c r="I413" t="s">
        <v>100</v>
      </c>
      <c r="J413" t="s">
        <v>101</v>
      </c>
      <c r="K413" t="s">
        <v>318</v>
      </c>
      <c r="L413" t="s">
        <v>776</v>
      </c>
      <c r="M413" t="s">
        <v>140</v>
      </c>
      <c r="N413" t="s">
        <v>11</v>
      </c>
      <c r="O413">
        <v>23</v>
      </c>
      <c r="P413" t="s">
        <v>91</v>
      </c>
      <c r="Q413" t="s">
        <v>327</v>
      </c>
      <c r="R413" t="s">
        <v>328</v>
      </c>
      <c r="S413" t="s">
        <v>136</v>
      </c>
      <c r="T413" t="s">
        <v>16</v>
      </c>
      <c r="U413">
        <v>4</v>
      </c>
      <c r="V413">
        <v>73</v>
      </c>
      <c r="W413">
        <v>160.6</v>
      </c>
      <c r="X413">
        <v>0</v>
      </c>
      <c r="Y413">
        <v>642.4</v>
      </c>
      <c r="Z413">
        <v>350.4</v>
      </c>
      <c r="AA413" t="s">
        <v>43</v>
      </c>
      <c r="AB413" t="s">
        <v>18</v>
      </c>
      <c r="AC413">
        <v>4</v>
      </c>
      <c r="AD413" t="s">
        <v>19</v>
      </c>
      <c r="AE413" t="s">
        <v>95</v>
      </c>
      <c r="AF413" t="str">
        <f t="shared" si="13"/>
        <v>No</v>
      </c>
    </row>
    <row r="414" spans="1:32" x14ac:dyDescent="0.3">
      <c r="A414" t="s">
        <v>921</v>
      </c>
      <c r="B414" s="1">
        <v>45775</v>
      </c>
      <c r="C414" t="s">
        <v>829</v>
      </c>
      <c r="D414">
        <f t="shared" si="12"/>
        <v>14</v>
      </c>
      <c r="E414" t="s">
        <v>60</v>
      </c>
      <c r="F414" t="s">
        <v>48</v>
      </c>
      <c r="G414" t="s">
        <v>23</v>
      </c>
      <c r="H414" t="s">
        <v>24</v>
      </c>
      <c r="I414" t="s">
        <v>25</v>
      </c>
      <c r="J414" t="s">
        <v>26</v>
      </c>
      <c r="K414" t="s">
        <v>138</v>
      </c>
      <c r="L414" t="s">
        <v>718</v>
      </c>
      <c r="M414" t="s">
        <v>261</v>
      </c>
      <c r="N414" t="s">
        <v>30</v>
      </c>
      <c r="O414">
        <v>31</v>
      </c>
      <c r="P414" t="s">
        <v>54</v>
      </c>
      <c r="Q414" t="s">
        <v>134</v>
      </c>
      <c r="R414" t="s">
        <v>135</v>
      </c>
      <c r="S414" t="s">
        <v>136</v>
      </c>
      <c r="T414" t="s">
        <v>35</v>
      </c>
      <c r="U414">
        <v>4</v>
      </c>
      <c r="V414">
        <v>20</v>
      </c>
      <c r="W414">
        <v>60</v>
      </c>
      <c r="X414">
        <v>5</v>
      </c>
      <c r="Y414">
        <v>228</v>
      </c>
      <c r="Z414">
        <v>148</v>
      </c>
      <c r="AA414" t="s">
        <v>36</v>
      </c>
      <c r="AB414" t="s">
        <v>18</v>
      </c>
      <c r="AC414">
        <v>4</v>
      </c>
      <c r="AD414" t="s">
        <v>105</v>
      </c>
      <c r="AE414" t="s">
        <v>95</v>
      </c>
      <c r="AF414" t="str">
        <f t="shared" si="13"/>
        <v>No</v>
      </c>
    </row>
    <row r="415" spans="1:32" x14ac:dyDescent="0.3">
      <c r="A415" t="s">
        <v>922</v>
      </c>
      <c r="B415" s="1">
        <v>45737</v>
      </c>
      <c r="C415" t="s">
        <v>322</v>
      </c>
      <c r="D415">
        <f t="shared" si="12"/>
        <v>10</v>
      </c>
      <c r="E415" t="s">
        <v>72</v>
      </c>
      <c r="F415" t="s">
        <v>3</v>
      </c>
      <c r="G415" t="s">
        <v>40</v>
      </c>
      <c r="H415" t="s">
        <v>122</v>
      </c>
      <c r="I415" t="s">
        <v>123</v>
      </c>
      <c r="J415" t="s">
        <v>7</v>
      </c>
      <c r="K415" t="s">
        <v>41</v>
      </c>
      <c r="L415" t="s">
        <v>923</v>
      </c>
      <c r="M415" t="s">
        <v>65</v>
      </c>
      <c r="N415" t="s">
        <v>30</v>
      </c>
      <c r="O415">
        <v>39</v>
      </c>
      <c r="P415" t="s">
        <v>91</v>
      </c>
      <c r="Q415" t="s">
        <v>267</v>
      </c>
      <c r="R415" t="s">
        <v>268</v>
      </c>
      <c r="S415" t="s">
        <v>15</v>
      </c>
      <c r="T415" t="s">
        <v>35</v>
      </c>
      <c r="U415">
        <v>3</v>
      </c>
      <c r="V415">
        <v>87</v>
      </c>
      <c r="W415">
        <v>261</v>
      </c>
      <c r="X415">
        <v>15</v>
      </c>
      <c r="Y415">
        <v>665.55</v>
      </c>
      <c r="Z415">
        <v>404.55</v>
      </c>
      <c r="AA415" t="s">
        <v>17</v>
      </c>
      <c r="AB415" t="s">
        <v>37</v>
      </c>
      <c r="AD415" t="s">
        <v>19</v>
      </c>
      <c r="AE415" t="s">
        <v>20</v>
      </c>
      <c r="AF415" t="str">
        <f t="shared" si="13"/>
        <v>Yes</v>
      </c>
    </row>
    <row r="416" spans="1:32" x14ac:dyDescent="0.3">
      <c r="A416" t="s">
        <v>924</v>
      </c>
      <c r="B416" s="1">
        <v>45763</v>
      </c>
      <c r="C416" t="s">
        <v>121</v>
      </c>
      <c r="D416">
        <f t="shared" si="12"/>
        <v>9</v>
      </c>
      <c r="E416" t="s">
        <v>60</v>
      </c>
      <c r="F416" t="s">
        <v>48</v>
      </c>
      <c r="G416" t="s">
        <v>73</v>
      </c>
      <c r="H416" t="s">
        <v>164</v>
      </c>
      <c r="I416" t="s">
        <v>165</v>
      </c>
      <c r="J416" t="s">
        <v>166</v>
      </c>
      <c r="K416" t="s">
        <v>346</v>
      </c>
      <c r="L416" t="s">
        <v>500</v>
      </c>
      <c r="M416" t="s">
        <v>184</v>
      </c>
      <c r="N416" t="s">
        <v>11</v>
      </c>
      <c r="O416">
        <v>19</v>
      </c>
      <c r="P416" t="s">
        <v>54</v>
      </c>
      <c r="Q416" t="s">
        <v>77</v>
      </c>
      <c r="R416" t="s">
        <v>78</v>
      </c>
      <c r="S416" t="s">
        <v>68</v>
      </c>
      <c r="T416" t="s">
        <v>16</v>
      </c>
      <c r="U416">
        <v>2</v>
      </c>
      <c r="V416">
        <v>35</v>
      </c>
      <c r="W416">
        <v>105</v>
      </c>
      <c r="X416">
        <v>15</v>
      </c>
      <c r="Y416">
        <v>178.5</v>
      </c>
      <c r="Z416">
        <v>108.5</v>
      </c>
      <c r="AA416" t="s">
        <v>179</v>
      </c>
      <c r="AB416" t="s">
        <v>44</v>
      </c>
      <c r="AC416">
        <v>4</v>
      </c>
      <c r="AD416" t="s">
        <v>105</v>
      </c>
      <c r="AE416" t="s">
        <v>20</v>
      </c>
      <c r="AF416" t="str">
        <f t="shared" si="13"/>
        <v>Yes</v>
      </c>
    </row>
    <row r="417" spans="1:32" x14ac:dyDescent="0.3">
      <c r="A417" t="s">
        <v>925</v>
      </c>
      <c r="B417" s="1">
        <v>45780</v>
      </c>
      <c r="C417" t="s">
        <v>351</v>
      </c>
      <c r="D417">
        <f t="shared" si="12"/>
        <v>9</v>
      </c>
      <c r="E417" t="s">
        <v>47</v>
      </c>
      <c r="F417" t="s">
        <v>48</v>
      </c>
      <c r="G417" t="s">
        <v>132</v>
      </c>
      <c r="H417" t="s">
        <v>164</v>
      </c>
      <c r="I417" t="s">
        <v>165</v>
      </c>
      <c r="J417" t="s">
        <v>166</v>
      </c>
      <c r="K417" t="s">
        <v>311</v>
      </c>
      <c r="L417" t="s">
        <v>926</v>
      </c>
      <c r="M417" t="s">
        <v>53</v>
      </c>
      <c r="N417" t="s">
        <v>11</v>
      </c>
      <c r="O417">
        <v>30</v>
      </c>
      <c r="P417" t="s">
        <v>54</v>
      </c>
      <c r="Q417" t="s">
        <v>436</v>
      </c>
      <c r="R417" t="s">
        <v>437</v>
      </c>
      <c r="S417" t="s">
        <v>178</v>
      </c>
      <c r="T417" t="s">
        <v>35</v>
      </c>
      <c r="U417">
        <v>3</v>
      </c>
      <c r="V417">
        <v>66</v>
      </c>
      <c r="W417">
        <v>165</v>
      </c>
      <c r="X417">
        <v>15</v>
      </c>
      <c r="Y417">
        <v>420.75</v>
      </c>
      <c r="Z417">
        <v>222.75</v>
      </c>
      <c r="AA417" t="s">
        <v>17</v>
      </c>
      <c r="AB417" t="s">
        <v>129</v>
      </c>
      <c r="AC417">
        <v>3</v>
      </c>
      <c r="AD417" t="s">
        <v>105</v>
      </c>
      <c r="AE417" t="s">
        <v>20</v>
      </c>
      <c r="AF417" t="str">
        <f t="shared" si="13"/>
        <v>Yes</v>
      </c>
    </row>
    <row r="418" spans="1:32" x14ac:dyDescent="0.3">
      <c r="A418" t="s">
        <v>927</v>
      </c>
      <c r="B418" s="1">
        <v>45770</v>
      </c>
      <c r="C418" t="s">
        <v>537</v>
      </c>
      <c r="D418">
        <f t="shared" si="12"/>
        <v>8</v>
      </c>
      <c r="E418" t="s">
        <v>60</v>
      </c>
      <c r="F418" t="s">
        <v>48</v>
      </c>
      <c r="G418" t="s">
        <v>73</v>
      </c>
      <c r="H418" t="s">
        <v>150</v>
      </c>
      <c r="I418" t="s">
        <v>151</v>
      </c>
      <c r="J418" t="s">
        <v>152</v>
      </c>
      <c r="K418" t="s">
        <v>146</v>
      </c>
      <c r="L418" t="s">
        <v>928</v>
      </c>
      <c r="M418" t="s">
        <v>140</v>
      </c>
      <c r="N418" t="s">
        <v>30</v>
      </c>
      <c r="O418">
        <v>48</v>
      </c>
      <c r="P418" t="s">
        <v>76</v>
      </c>
      <c r="Q418" t="s">
        <v>185</v>
      </c>
      <c r="R418" t="s">
        <v>186</v>
      </c>
      <c r="S418" t="s">
        <v>187</v>
      </c>
      <c r="T418" t="s">
        <v>35</v>
      </c>
      <c r="U418">
        <v>4</v>
      </c>
      <c r="V418">
        <v>57</v>
      </c>
      <c r="W418">
        <v>159.6</v>
      </c>
      <c r="X418">
        <v>0</v>
      </c>
      <c r="Y418">
        <v>638.4</v>
      </c>
      <c r="Z418">
        <v>410.4</v>
      </c>
      <c r="AA418" t="s">
        <v>17</v>
      </c>
      <c r="AB418" t="s">
        <v>87</v>
      </c>
      <c r="AC418">
        <v>5</v>
      </c>
      <c r="AD418" t="s">
        <v>105</v>
      </c>
      <c r="AE418" t="s">
        <v>20</v>
      </c>
      <c r="AF418" t="str">
        <f t="shared" si="13"/>
        <v>Yes</v>
      </c>
    </row>
    <row r="419" spans="1:32" x14ac:dyDescent="0.3">
      <c r="A419" t="s">
        <v>929</v>
      </c>
      <c r="B419" s="1">
        <v>45805</v>
      </c>
      <c r="C419" t="s">
        <v>474</v>
      </c>
      <c r="D419">
        <f t="shared" si="12"/>
        <v>12</v>
      </c>
      <c r="E419" t="s">
        <v>47</v>
      </c>
      <c r="F419" t="s">
        <v>48</v>
      </c>
      <c r="G419" t="s">
        <v>73</v>
      </c>
      <c r="H419" t="s">
        <v>150</v>
      </c>
      <c r="I419" t="s">
        <v>151</v>
      </c>
      <c r="J419" t="s">
        <v>152</v>
      </c>
      <c r="K419" t="s">
        <v>153</v>
      </c>
      <c r="L419" t="s">
        <v>183</v>
      </c>
      <c r="M419" t="s">
        <v>10</v>
      </c>
      <c r="N419" t="s">
        <v>11</v>
      </c>
      <c r="O419">
        <v>37</v>
      </c>
      <c r="P419" t="s">
        <v>54</v>
      </c>
      <c r="Q419" t="s">
        <v>85</v>
      </c>
      <c r="R419" t="s">
        <v>86</v>
      </c>
      <c r="S419" t="s">
        <v>34</v>
      </c>
      <c r="T419" t="s">
        <v>16</v>
      </c>
      <c r="U419">
        <v>3</v>
      </c>
      <c r="V419">
        <v>27</v>
      </c>
      <c r="W419">
        <v>81</v>
      </c>
      <c r="X419">
        <v>10</v>
      </c>
      <c r="Y419">
        <v>218.7</v>
      </c>
      <c r="Z419">
        <v>137.69999999999999</v>
      </c>
      <c r="AA419" t="s">
        <v>17</v>
      </c>
      <c r="AB419" t="s">
        <v>129</v>
      </c>
      <c r="AC419">
        <v>5</v>
      </c>
      <c r="AD419" t="s">
        <v>19</v>
      </c>
      <c r="AE419" t="s">
        <v>20</v>
      </c>
      <c r="AF419" t="str">
        <f t="shared" si="13"/>
        <v>Yes</v>
      </c>
    </row>
    <row r="420" spans="1:32" x14ac:dyDescent="0.3">
      <c r="A420" t="s">
        <v>930</v>
      </c>
      <c r="B420" s="1">
        <v>45829</v>
      </c>
      <c r="C420" t="s">
        <v>97</v>
      </c>
      <c r="D420">
        <f t="shared" si="12"/>
        <v>7</v>
      </c>
      <c r="E420" t="s">
        <v>131</v>
      </c>
      <c r="F420" t="s">
        <v>48</v>
      </c>
      <c r="G420" t="s">
        <v>132</v>
      </c>
      <c r="H420" t="s">
        <v>49</v>
      </c>
      <c r="I420" t="s">
        <v>50</v>
      </c>
      <c r="J420" t="s">
        <v>7</v>
      </c>
      <c r="K420" t="s">
        <v>311</v>
      </c>
      <c r="L420" t="s">
        <v>551</v>
      </c>
      <c r="M420" t="s">
        <v>140</v>
      </c>
      <c r="N420" t="s">
        <v>11</v>
      </c>
      <c r="O420">
        <v>17</v>
      </c>
      <c r="P420" t="s">
        <v>31</v>
      </c>
      <c r="Q420" t="s">
        <v>364</v>
      </c>
      <c r="R420" t="s">
        <v>365</v>
      </c>
      <c r="S420" t="s">
        <v>187</v>
      </c>
      <c r="T420" t="s">
        <v>35</v>
      </c>
      <c r="U420">
        <v>1</v>
      </c>
      <c r="V420">
        <v>28</v>
      </c>
      <c r="W420">
        <v>84</v>
      </c>
      <c r="X420">
        <v>10</v>
      </c>
      <c r="Y420">
        <v>75.599999999999994</v>
      </c>
      <c r="Z420">
        <v>47.6</v>
      </c>
      <c r="AA420" t="s">
        <v>36</v>
      </c>
      <c r="AB420" t="s">
        <v>119</v>
      </c>
      <c r="AC420">
        <v>5</v>
      </c>
      <c r="AD420" t="s">
        <v>19</v>
      </c>
      <c r="AE420" t="s">
        <v>95</v>
      </c>
      <c r="AF420" t="str">
        <f t="shared" si="13"/>
        <v>No</v>
      </c>
    </row>
    <row r="421" spans="1:32" x14ac:dyDescent="0.3">
      <c r="A421" t="s">
        <v>931</v>
      </c>
      <c r="B421" s="1">
        <v>45797</v>
      </c>
      <c r="C421" t="s">
        <v>829</v>
      </c>
      <c r="D421">
        <f t="shared" si="12"/>
        <v>14</v>
      </c>
      <c r="E421" t="s">
        <v>47</v>
      </c>
      <c r="F421" t="s">
        <v>48</v>
      </c>
      <c r="G421" t="s">
        <v>181</v>
      </c>
      <c r="H421" t="s">
        <v>164</v>
      </c>
      <c r="I421" t="s">
        <v>165</v>
      </c>
      <c r="J421" t="s">
        <v>166</v>
      </c>
      <c r="K421" t="s">
        <v>138</v>
      </c>
      <c r="L421" t="s">
        <v>290</v>
      </c>
      <c r="M421" t="s">
        <v>53</v>
      </c>
      <c r="N421" t="s">
        <v>11</v>
      </c>
      <c r="O421">
        <v>29</v>
      </c>
      <c r="P421" t="s">
        <v>54</v>
      </c>
      <c r="Q421" t="s">
        <v>141</v>
      </c>
      <c r="R421" t="s">
        <v>142</v>
      </c>
      <c r="S421" t="s">
        <v>111</v>
      </c>
      <c r="T421" t="s">
        <v>16</v>
      </c>
      <c r="U421">
        <v>2</v>
      </c>
      <c r="V421">
        <v>35</v>
      </c>
      <c r="W421">
        <v>77</v>
      </c>
      <c r="X421">
        <v>10</v>
      </c>
      <c r="Y421">
        <v>138.6</v>
      </c>
      <c r="Z421">
        <v>68.599999999999994</v>
      </c>
      <c r="AA421" t="s">
        <v>17</v>
      </c>
      <c r="AB421" t="s">
        <v>129</v>
      </c>
      <c r="AD421" t="s">
        <v>105</v>
      </c>
      <c r="AE421" t="s">
        <v>20</v>
      </c>
      <c r="AF421" t="str">
        <f t="shared" si="13"/>
        <v>Yes</v>
      </c>
    </row>
    <row r="422" spans="1:32" x14ac:dyDescent="0.3">
      <c r="A422" t="s">
        <v>932</v>
      </c>
      <c r="B422" s="1">
        <v>45691</v>
      </c>
      <c r="C422" t="s">
        <v>202</v>
      </c>
      <c r="D422">
        <f t="shared" si="12"/>
        <v>11</v>
      </c>
      <c r="E422" t="s">
        <v>145</v>
      </c>
      <c r="F422" t="s">
        <v>3</v>
      </c>
      <c r="G422" t="s">
        <v>23</v>
      </c>
      <c r="H422" t="s">
        <v>49</v>
      </c>
      <c r="I422" t="s">
        <v>50</v>
      </c>
      <c r="J422" t="s">
        <v>7</v>
      </c>
      <c r="K422" t="s">
        <v>196</v>
      </c>
      <c r="L422" t="s">
        <v>441</v>
      </c>
      <c r="M422" t="s">
        <v>53</v>
      </c>
      <c r="N422" t="s">
        <v>11</v>
      </c>
      <c r="O422">
        <v>34</v>
      </c>
      <c r="P422" t="s">
        <v>31</v>
      </c>
      <c r="Q422" t="s">
        <v>252</v>
      </c>
      <c r="R422" t="s">
        <v>253</v>
      </c>
      <c r="S422" t="s">
        <v>178</v>
      </c>
      <c r="T422" t="s">
        <v>35</v>
      </c>
      <c r="U422">
        <v>4</v>
      </c>
      <c r="V422">
        <v>82</v>
      </c>
      <c r="W422">
        <v>205</v>
      </c>
      <c r="X422">
        <v>15</v>
      </c>
      <c r="Y422">
        <v>697</v>
      </c>
      <c r="Z422">
        <v>369</v>
      </c>
      <c r="AA422" t="s">
        <v>43</v>
      </c>
      <c r="AB422" t="s">
        <v>119</v>
      </c>
      <c r="AC422">
        <v>3</v>
      </c>
      <c r="AD422" t="s">
        <v>19</v>
      </c>
      <c r="AE422" t="s">
        <v>20</v>
      </c>
      <c r="AF422" t="str">
        <f t="shared" si="13"/>
        <v>Yes</v>
      </c>
    </row>
    <row r="423" spans="1:32" x14ac:dyDescent="0.3">
      <c r="A423" t="s">
        <v>933</v>
      </c>
      <c r="B423" s="1">
        <v>45771</v>
      </c>
      <c r="C423" t="s">
        <v>1</v>
      </c>
      <c r="D423">
        <f t="shared" si="12"/>
        <v>19</v>
      </c>
      <c r="E423" t="s">
        <v>60</v>
      </c>
      <c r="F423" t="s">
        <v>48</v>
      </c>
      <c r="G423" t="s">
        <v>98</v>
      </c>
      <c r="H423" t="s">
        <v>164</v>
      </c>
      <c r="I423" t="s">
        <v>165</v>
      </c>
      <c r="J423" t="s">
        <v>166</v>
      </c>
      <c r="K423" t="s">
        <v>63</v>
      </c>
      <c r="L423" t="s">
        <v>934</v>
      </c>
      <c r="M423" t="s">
        <v>225</v>
      </c>
      <c r="N423" t="s">
        <v>30</v>
      </c>
      <c r="O423">
        <v>56</v>
      </c>
      <c r="P423" t="s">
        <v>91</v>
      </c>
      <c r="Q423" t="s">
        <v>235</v>
      </c>
      <c r="R423" t="s">
        <v>236</v>
      </c>
      <c r="S423" t="s">
        <v>237</v>
      </c>
      <c r="T423" t="s">
        <v>35</v>
      </c>
      <c r="U423">
        <v>3</v>
      </c>
      <c r="V423">
        <v>22</v>
      </c>
      <c r="W423">
        <v>61.6</v>
      </c>
      <c r="X423">
        <v>0</v>
      </c>
      <c r="Y423">
        <v>184.8</v>
      </c>
      <c r="Z423">
        <v>118.8</v>
      </c>
      <c r="AA423" t="s">
        <v>17</v>
      </c>
      <c r="AB423" t="s">
        <v>87</v>
      </c>
      <c r="AC423">
        <v>3</v>
      </c>
      <c r="AD423" t="s">
        <v>19</v>
      </c>
      <c r="AE423" t="s">
        <v>20</v>
      </c>
      <c r="AF423" t="str">
        <f t="shared" si="13"/>
        <v>Yes</v>
      </c>
    </row>
    <row r="424" spans="1:32" x14ac:dyDescent="0.3">
      <c r="A424" t="s">
        <v>935</v>
      </c>
      <c r="B424" s="1">
        <v>45752</v>
      </c>
      <c r="C424" t="s">
        <v>554</v>
      </c>
      <c r="D424">
        <f t="shared" si="12"/>
        <v>11</v>
      </c>
      <c r="E424" t="s">
        <v>60</v>
      </c>
      <c r="F424" t="s">
        <v>48</v>
      </c>
      <c r="G424" t="s">
        <v>132</v>
      </c>
      <c r="H424" t="s">
        <v>61</v>
      </c>
      <c r="I424" t="s">
        <v>62</v>
      </c>
      <c r="J424" t="s">
        <v>7</v>
      </c>
      <c r="K424" t="s">
        <v>51</v>
      </c>
      <c r="L424" t="s">
        <v>341</v>
      </c>
      <c r="M424" t="s">
        <v>10</v>
      </c>
      <c r="N424" t="s">
        <v>11</v>
      </c>
      <c r="O424">
        <v>49</v>
      </c>
      <c r="P424" t="s">
        <v>12</v>
      </c>
      <c r="Q424" t="s">
        <v>436</v>
      </c>
      <c r="R424" t="s">
        <v>437</v>
      </c>
      <c r="S424" t="s">
        <v>178</v>
      </c>
      <c r="T424" t="s">
        <v>35</v>
      </c>
      <c r="U424">
        <v>1</v>
      </c>
      <c r="V424">
        <v>66</v>
      </c>
      <c r="W424">
        <v>165</v>
      </c>
      <c r="X424">
        <v>15</v>
      </c>
      <c r="Y424">
        <v>140.25</v>
      </c>
      <c r="Z424">
        <v>74.25</v>
      </c>
      <c r="AA424" t="s">
        <v>43</v>
      </c>
      <c r="AB424" t="s">
        <v>37</v>
      </c>
      <c r="AC424">
        <v>3</v>
      </c>
      <c r="AD424" t="s">
        <v>19</v>
      </c>
      <c r="AE424" t="s">
        <v>20</v>
      </c>
      <c r="AF424" t="str">
        <f t="shared" si="13"/>
        <v>Yes</v>
      </c>
    </row>
    <row r="425" spans="1:32" x14ac:dyDescent="0.3">
      <c r="A425" t="s">
        <v>936</v>
      </c>
      <c r="B425" s="1">
        <v>45810</v>
      </c>
      <c r="C425" t="s">
        <v>265</v>
      </c>
      <c r="D425">
        <f t="shared" si="12"/>
        <v>7</v>
      </c>
      <c r="E425" t="s">
        <v>131</v>
      </c>
      <c r="F425" t="s">
        <v>48</v>
      </c>
      <c r="G425" t="s">
        <v>23</v>
      </c>
      <c r="H425" t="s">
        <v>159</v>
      </c>
      <c r="I425" t="s">
        <v>160</v>
      </c>
      <c r="J425" t="s">
        <v>161</v>
      </c>
      <c r="K425" t="s">
        <v>107</v>
      </c>
      <c r="L425" t="s">
        <v>277</v>
      </c>
      <c r="M425" t="s">
        <v>29</v>
      </c>
      <c r="N425" t="s">
        <v>11</v>
      </c>
      <c r="O425">
        <v>27</v>
      </c>
      <c r="P425" t="s">
        <v>31</v>
      </c>
      <c r="Q425" t="s">
        <v>327</v>
      </c>
      <c r="R425" t="s">
        <v>328</v>
      </c>
      <c r="S425" t="s">
        <v>136</v>
      </c>
      <c r="T425" t="s">
        <v>16</v>
      </c>
      <c r="U425">
        <v>3</v>
      </c>
      <c r="V425">
        <v>73</v>
      </c>
      <c r="W425">
        <v>160.6</v>
      </c>
      <c r="X425">
        <v>15</v>
      </c>
      <c r="Y425">
        <v>409.53</v>
      </c>
      <c r="Z425">
        <v>190.53</v>
      </c>
      <c r="AA425" t="s">
        <v>17</v>
      </c>
      <c r="AB425" t="s">
        <v>129</v>
      </c>
      <c r="AC425">
        <v>3</v>
      </c>
      <c r="AD425" t="s">
        <v>19</v>
      </c>
      <c r="AE425" t="s">
        <v>20</v>
      </c>
      <c r="AF425" t="str">
        <f t="shared" si="13"/>
        <v>Yes</v>
      </c>
    </row>
    <row r="426" spans="1:32" x14ac:dyDescent="0.3">
      <c r="A426" t="s">
        <v>937</v>
      </c>
      <c r="B426" s="1">
        <v>45698</v>
      </c>
      <c r="C426" t="s">
        <v>80</v>
      </c>
      <c r="D426">
        <f t="shared" si="12"/>
        <v>10</v>
      </c>
      <c r="E426" t="s">
        <v>145</v>
      </c>
      <c r="F426" t="s">
        <v>3</v>
      </c>
      <c r="G426" t="s">
        <v>23</v>
      </c>
      <c r="H426" t="s">
        <v>99</v>
      </c>
      <c r="I426" t="s">
        <v>100</v>
      </c>
      <c r="J426" t="s">
        <v>101</v>
      </c>
      <c r="K426" t="s">
        <v>114</v>
      </c>
      <c r="L426" t="s">
        <v>938</v>
      </c>
      <c r="M426" t="s">
        <v>225</v>
      </c>
      <c r="N426" t="s">
        <v>11</v>
      </c>
      <c r="O426">
        <v>49</v>
      </c>
      <c r="P426" t="s">
        <v>54</v>
      </c>
      <c r="Q426" t="s">
        <v>216</v>
      </c>
      <c r="R426" t="s">
        <v>217</v>
      </c>
      <c r="S426" t="s">
        <v>218</v>
      </c>
      <c r="T426" t="s">
        <v>35</v>
      </c>
      <c r="U426">
        <v>2</v>
      </c>
      <c r="V426">
        <v>67</v>
      </c>
      <c r="W426">
        <v>187.6</v>
      </c>
      <c r="X426">
        <v>15</v>
      </c>
      <c r="Y426">
        <v>318.92</v>
      </c>
      <c r="Z426">
        <v>184.92</v>
      </c>
      <c r="AA426" t="s">
        <v>17</v>
      </c>
      <c r="AB426" t="s">
        <v>119</v>
      </c>
      <c r="AD426" t="s">
        <v>105</v>
      </c>
      <c r="AE426" t="s">
        <v>20</v>
      </c>
      <c r="AF426" t="str">
        <f t="shared" si="13"/>
        <v>Yes</v>
      </c>
    </row>
    <row r="427" spans="1:32" x14ac:dyDescent="0.3">
      <c r="A427" t="s">
        <v>939</v>
      </c>
      <c r="B427" s="1">
        <v>45749</v>
      </c>
      <c r="C427" t="s">
        <v>244</v>
      </c>
      <c r="D427">
        <f t="shared" si="12"/>
        <v>20</v>
      </c>
      <c r="E427" t="s">
        <v>60</v>
      </c>
      <c r="F427" t="s">
        <v>48</v>
      </c>
      <c r="G427" t="s">
        <v>73</v>
      </c>
      <c r="H427" t="s">
        <v>24</v>
      </c>
      <c r="I427" t="s">
        <v>25</v>
      </c>
      <c r="J427" t="s">
        <v>26</v>
      </c>
      <c r="K427" t="s">
        <v>114</v>
      </c>
      <c r="L427" t="s">
        <v>200</v>
      </c>
      <c r="M427" t="s">
        <v>53</v>
      </c>
      <c r="N427" t="s">
        <v>11</v>
      </c>
      <c r="O427">
        <v>51</v>
      </c>
      <c r="P427" t="s">
        <v>76</v>
      </c>
      <c r="Q427" t="s">
        <v>436</v>
      </c>
      <c r="R427" t="s">
        <v>437</v>
      </c>
      <c r="S427" t="s">
        <v>178</v>
      </c>
      <c r="T427" t="s">
        <v>35</v>
      </c>
      <c r="U427">
        <v>2</v>
      </c>
      <c r="V427">
        <v>66</v>
      </c>
      <c r="W427">
        <v>165</v>
      </c>
      <c r="X427">
        <v>5</v>
      </c>
      <c r="Y427">
        <v>313.5</v>
      </c>
      <c r="Z427">
        <v>181.5</v>
      </c>
      <c r="AA427" t="s">
        <v>69</v>
      </c>
      <c r="AB427" t="s">
        <v>18</v>
      </c>
      <c r="AD427" t="s">
        <v>105</v>
      </c>
      <c r="AE427" t="s">
        <v>20</v>
      </c>
      <c r="AF427" t="str">
        <f t="shared" si="13"/>
        <v>Yes</v>
      </c>
    </row>
    <row r="428" spans="1:32" x14ac:dyDescent="0.3">
      <c r="A428" t="s">
        <v>940</v>
      </c>
      <c r="B428" s="1">
        <v>45792</v>
      </c>
      <c r="C428" t="s">
        <v>113</v>
      </c>
      <c r="D428">
        <f t="shared" si="12"/>
        <v>8</v>
      </c>
      <c r="E428" t="s">
        <v>47</v>
      </c>
      <c r="F428" t="s">
        <v>48</v>
      </c>
      <c r="G428" t="s">
        <v>98</v>
      </c>
      <c r="H428" t="s">
        <v>99</v>
      </c>
      <c r="I428" t="s">
        <v>100</v>
      </c>
      <c r="J428" t="s">
        <v>101</v>
      </c>
      <c r="K428" t="s">
        <v>245</v>
      </c>
      <c r="L428" t="s">
        <v>102</v>
      </c>
      <c r="M428" t="s">
        <v>140</v>
      </c>
      <c r="N428" t="s">
        <v>11</v>
      </c>
      <c r="O428">
        <v>25</v>
      </c>
      <c r="P428" t="s">
        <v>76</v>
      </c>
      <c r="Q428" t="s">
        <v>55</v>
      </c>
      <c r="R428" t="s">
        <v>56</v>
      </c>
      <c r="S428" t="s">
        <v>57</v>
      </c>
      <c r="T428" t="s">
        <v>35</v>
      </c>
      <c r="U428">
        <v>1</v>
      </c>
      <c r="V428">
        <v>36</v>
      </c>
      <c r="W428">
        <v>79.2</v>
      </c>
      <c r="X428">
        <v>10</v>
      </c>
      <c r="Y428">
        <v>71.28</v>
      </c>
      <c r="Z428">
        <v>35.28</v>
      </c>
      <c r="AA428" t="s">
        <v>17</v>
      </c>
      <c r="AB428" t="s">
        <v>119</v>
      </c>
      <c r="AD428" t="s">
        <v>105</v>
      </c>
      <c r="AE428" t="s">
        <v>20</v>
      </c>
      <c r="AF428" t="str">
        <f t="shared" si="13"/>
        <v>Yes</v>
      </c>
    </row>
    <row r="429" spans="1:32" x14ac:dyDescent="0.3">
      <c r="A429" t="s">
        <v>941</v>
      </c>
      <c r="B429" s="1">
        <v>45731</v>
      </c>
      <c r="C429" t="s">
        <v>345</v>
      </c>
      <c r="D429">
        <f t="shared" si="12"/>
        <v>18</v>
      </c>
      <c r="E429" t="s">
        <v>72</v>
      </c>
      <c r="F429" t="s">
        <v>3</v>
      </c>
      <c r="G429" t="s">
        <v>132</v>
      </c>
      <c r="H429" t="s">
        <v>81</v>
      </c>
      <c r="I429" t="s">
        <v>82</v>
      </c>
      <c r="J429" t="s">
        <v>7</v>
      </c>
      <c r="K429" t="s">
        <v>352</v>
      </c>
      <c r="L429" t="s">
        <v>827</v>
      </c>
      <c r="M429" t="s">
        <v>162</v>
      </c>
      <c r="N429" t="s">
        <v>11</v>
      </c>
      <c r="O429">
        <v>49</v>
      </c>
      <c r="P429" t="s">
        <v>12</v>
      </c>
      <c r="Q429" t="s">
        <v>109</v>
      </c>
      <c r="R429" t="s">
        <v>110</v>
      </c>
      <c r="S429" t="s">
        <v>111</v>
      </c>
      <c r="T429" t="s">
        <v>16</v>
      </c>
      <c r="U429">
        <v>1</v>
      </c>
      <c r="V429">
        <v>83</v>
      </c>
      <c r="W429">
        <v>182.6</v>
      </c>
      <c r="X429">
        <v>15</v>
      </c>
      <c r="Y429">
        <v>155.21</v>
      </c>
      <c r="Z429">
        <v>72.209999999999994</v>
      </c>
      <c r="AA429" t="s">
        <v>179</v>
      </c>
      <c r="AB429" t="s">
        <v>37</v>
      </c>
      <c r="AC429">
        <v>3</v>
      </c>
      <c r="AD429" t="s">
        <v>105</v>
      </c>
      <c r="AE429" t="s">
        <v>95</v>
      </c>
      <c r="AF429" t="str">
        <f t="shared" si="13"/>
        <v>No</v>
      </c>
    </row>
    <row r="430" spans="1:32" x14ac:dyDescent="0.3">
      <c r="A430" t="s">
        <v>942</v>
      </c>
      <c r="B430" s="1">
        <v>45710</v>
      </c>
      <c r="C430" t="s">
        <v>250</v>
      </c>
      <c r="D430">
        <f t="shared" si="12"/>
        <v>13</v>
      </c>
      <c r="E430" t="s">
        <v>145</v>
      </c>
      <c r="F430" t="s">
        <v>3</v>
      </c>
      <c r="G430" t="s">
        <v>132</v>
      </c>
      <c r="H430" t="s">
        <v>122</v>
      </c>
      <c r="I430" t="s">
        <v>123</v>
      </c>
      <c r="J430" t="s">
        <v>7</v>
      </c>
      <c r="K430" t="s">
        <v>229</v>
      </c>
      <c r="L430" t="s">
        <v>585</v>
      </c>
      <c r="M430" t="s">
        <v>184</v>
      </c>
      <c r="N430" t="s">
        <v>30</v>
      </c>
      <c r="O430">
        <v>53</v>
      </c>
      <c r="P430" t="s">
        <v>91</v>
      </c>
      <c r="Q430" t="s">
        <v>252</v>
      </c>
      <c r="R430" t="s">
        <v>253</v>
      </c>
      <c r="S430" t="s">
        <v>178</v>
      </c>
      <c r="T430" t="s">
        <v>35</v>
      </c>
      <c r="U430">
        <v>1</v>
      </c>
      <c r="V430">
        <v>82</v>
      </c>
      <c r="W430">
        <v>205</v>
      </c>
      <c r="X430">
        <v>15</v>
      </c>
      <c r="Y430">
        <v>174.25</v>
      </c>
      <c r="Z430">
        <v>92.25</v>
      </c>
      <c r="AA430" t="s">
        <v>43</v>
      </c>
      <c r="AB430" t="s">
        <v>44</v>
      </c>
      <c r="AC430">
        <v>4</v>
      </c>
      <c r="AD430" t="s">
        <v>19</v>
      </c>
      <c r="AE430" t="s">
        <v>95</v>
      </c>
      <c r="AF430" t="str">
        <f t="shared" si="13"/>
        <v>No</v>
      </c>
    </row>
    <row r="431" spans="1:32" x14ac:dyDescent="0.3">
      <c r="A431" t="s">
        <v>943</v>
      </c>
      <c r="B431" s="1">
        <v>45745</v>
      </c>
      <c r="C431" t="s">
        <v>345</v>
      </c>
      <c r="D431">
        <f t="shared" si="12"/>
        <v>18</v>
      </c>
      <c r="E431" t="s">
        <v>72</v>
      </c>
      <c r="F431" t="s">
        <v>3</v>
      </c>
      <c r="G431" t="s">
        <v>132</v>
      </c>
      <c r="H431" t="s">
        <v>24</v>
      </c>
      <c r="I431" t="s">
        <v>25</v>
      </c>
      <c r="J431" t="s">
        <v>26</v>
      </c>
      <c r="K431" t="s">
        <v>306</v>
      </c>
      <c r="L431" t="s">
        <v>944</v>
      </c>
      <c r="M431" t="s">
        <v>169</v>
      </c>
      <c r="N431" t="s">
        <v>30</v>
      </c>
      <c r="O431">
        <v>21</v>
      </c>
      <c r="P431" t="s">
        <v>54</v>
      </c>
      <c r="Q431" t="s">
        <v>256</v>
      </c>
      <c r="R431" t="s">
        <v>257</v>
      </c>
      <c r="S431" t="s">
        <v>118</v>
      </c>
      <c r="T431" t="s">
        <v>35</v>
      </c>
      <c r="U431">
        <v>2</v>
      </c>
      <c r="V431">
        <v>30</v>
      </c>
      <c r="W431">
        <v>90</v>
      </c>
      <c r="X431">
        <v>5</v>
      </c>
      <c r="Y431">
        <v>171</v>
      </c>
      <c r="Z431">
        <v>111</v>
      </c>
      <c r="AA431" t="s">
        <v>17</v>
      </c>
      <c r="AB431" t="s">
        <v>44</v>
      </c>
      <c r="AC431">
        <v>4</v>
      </c>
      <c r="AD431" t="s">
        <v>105</v>
      </c>
      <c r="AE431" t="s">
        <v>95</v>
      </c>
      <c r="AF431" t="str">
        <f t="shared" si="13"/>
        <v>No</v>
      </c>
    </row>
    <row r="432" spans="1:32" x14ac:dyDescent="0.3">
      <c r="A432" t="s">
        <v>945</v>
      </c>
      <c r="B432" s="1">
        <v>45757</v>
      </c>
      <c r="C432" t="s">
        <v>39</v>
      </c>
      <c r="D432">
        <f t="shared" si="12"/>
        <v>18</v>
      </c>
      <c r="E432" t="s">
        <v>60</v>
      </c>
      <c r="F432" t="s">
        <v>48</v>
      </c>
      <c r="G432" t="s">
        <v>98</v>
      </c>
      <c r="H432" t="s">
        <v>49</v>
      </c>
      <c r="I432" t="s">
        <v>50</v>
      </c>
      <c r="J432" t="s">
        <v>7</v>
      </c>
      <c r="K432" t="s">
        <v>311</v>
      </c>
      <c r="L432" t="s">
        <v>946</v>
      </c>
      <c r="M432" t="s">
        <v>10</v>
      </c>
      <c r="N432" t="s">
        <v>30</v>
      </c>
      <c r="O432">
        <v>24</v>
      </c>
      <c r="P432" t="s">
        <v>54</v>
      </c>
      <c r="Q432" t="s">
        <v>126</v>
      </c>
      <c r="R432" t="s">
        <v>127</v>
      </c>
      <c r="S432" t="s">
        <v>128</v>
      </c>
      <c r="T432" t="s">
        <v>35</v>
      </c>
      <c r="U432">
        <v>3</v>
      </c>
      <c r="V432">
        <v>69</v>
      </c>
      <c r="W432">
        <v>193.2</v>
      </c>
      <c r="X432">
        <v>10</v>
      </c>
      <c r="Y432">
        <v>521.64</v>
      </c>
      <c r="Z432">
        <v>314.64</v>
      </c>
      <c r="AA432" t="s">
        <v>17</v>
      </c>
      <c r="AB432" t="s">
        <v>18</v>
      </c>
      <c r="AC432">
        <v>3</v>
      </c>
      <c r="AD432" t="s">
        <v>19</v>
      </c>
      <c r="AE432" t="s">
        <v>20</v>
      </c>
      <c r="AF432" t="str">
        <f t="shared" si="13"/>
        <v>Yes</v>
      </c>
    </row>
    <row r="433" spans="1:32" x14ac:dyDescent="0.3">
      <c r="A433" t="s">
        <v>947</v>
      </c>
      <c r="B433" s="1">
        <v>45762</v>
      </c>
      <c r="C433" t="s">
        <v>351</v>
      </c>
      <c r="D433">
        <f t="shared" si="12"/>
        <v>9</v>
      </c>
      <c r="E433" t="s">
        <v>60</v>
      </c>
      <c r="F433" t="s">
        <v>48</v>
      </c>
      <c r="G433" t="s">
        <v>181</v>
      </c>
      <c r="H433" t="s">
        <v>150</v>
      </c>
      <c r="I433" t="s">
        <v>151</v>
      </c>
      <c r="J433" t="s">
        <v>152</v>
      </c>
      <c r="K433" t="s">
        <v>138</v>
      </c>
      <c r="L433" t="s">
        <v>512</v>
      </c>
      <c r="M433" t="s">
        <v>184</v>
      </c>
      <c r="N433" t="s">
        <v>11</v>
      </c>
      <c r="O433">
        <v>55</v>
      </c>
      <c r="P433" t="s">
        <v>54</v>
      </c>
      <c r="Q433" t="s">
        <v>77</v>
      </c>
      <c r="R433" t="s">
        <v>78</v>
      </c>
      <c r="S433" t="s">
        <v>68</v>
      </c>
      <c r="T433" t="s">
        <v>16</v>
      </c>
      <c r="U433">
        <v>4</v>
      </c>
      <c r="V433">
        <v>35</v>
      </c>
      <c r="W433">
        <v>105</v>
      </c>
      <c r="X433">
        <v>15</v>
      </c>
      <c r="Y433">
        <v>357</v>
      </c>
      <c r="Z433">
        <v>217</v>
      </c>
      <c r="AA433" t="s">
        <v>69</v>
      </c>
      <c r="AB433" t="s">
        <v>129</v>
      </c>
      <c r="AC433">
        <v>4</v>
      </c>
      <c r="AD433" t="s">
        <v>19</v>
      </c>
      <c r="AE433" t="s">
        <v>20</v>
      </c>
      <c r="AF433" t="str">
        <f t="shared" si="13"/>
        <v>Yes</v>
      </c>
    </row>
    <row r="434" spans="1:32" x14ac:dyDescent="0.3">
      <c r="A434" t="s">
        <v>948</v>
      </c>
      <c r="B434" s="1">
        <v>45674</v>
      </c>
      <c r="C434" t="s">
        <v>407</v>
      </c>
      <c r="D434">
        <f t="shared" si="12"/>
        <v>8</v>
      </c>
      <c r="E434" t="s">
        <v>2</v>
      </c>
      <c r="F434" t="s">
        <v>3</v>
      </c>
      <c r="G434" t="s">
        <v>40</v>
      </c>
      <c r="H434" t="s">
        <v>24</v>
      </c>
      <c r="I434" t="s">
        <v>25</v>
      </c>
      <c r="J434" t="s">
        <v>26</v>
      </c>
      <c r="K434" t="s">
        <v>323</v>
      </c>
      <c r="L434" t="s">
        <v>949</v>
      </c>
      <c r="M434" t="s">
        <v>140</v>
      </c>
      <c r="N434" t="s">
        <v>30</v>
      </c>
      <c r="O434">
        <v>17</v>
      </c>
      <c r="P434" t="s">
        <v>12</v>
      </c>
      <c r="Q434" t="s">
        <v>364</v>
      </c>
      <c r="R434" t="s">
        <v>365</v>
      </c>
      <c r="S434" t="s">
        <v>187</v>
      </c>
      <c r="T434" t="s">
        <v>35</v>
      </c>
      <c r="U434">
        <v>2</v>
      </c>
      <c r="V434">
        <v>28</v>
      </c>
      <c r="W434">
        <v>84</v>
      </c>
      <c r="X434">
        <v>15</v>
      </c>
      <c r="Y434">
        <v>142.80000000000001</v>
      </c>
      <c r="Z434">
        <v>86.8</v>
      </c>
      <c r="AA434" t="s">
        <v>43</v>
      </c>
      <c r="AB434" t="s">
        <v>44</v>
      </c>
      <c r="AC434">
        <v>3</v>
      </c>
      <c r="AD434" t="s">
        <v>105</v>
      </c>
      <c r="AE434" t="s">
        <v>20</v>
      </c>
      <c r="AF434" t="str">
        <f t="shared" si="13"/>
        <v>Yes</v>
      </c>
    </row>
    <row r="435" spans="1:32" x14ac:dyDescent="0.3">
      <c r="A435" t="s">
        <v>950</v>
      </c>
      <c r="B435" s="1">
        <v>45783</v>
      </c>
      <c r="C435" t="s">
        <v>351</v>
      </c>
      <c r="D435">
        <f t="shared" si="12"/>
        <v>9</v>
      </c>
      <c r="E435" t="s">
        <v>47</v>
      </c>
      <c r="F435" t="s">
        <v>48</v>
      </c>
      <c r="G435" t="s">
        <v>181</v>
      </c>
      <c r="H435" t="s">
        <v>99</v>
      </c>
      <c r="I435" t="s">
        <v>100</v>
      </c>
      <c r="J435" t="s">
        <v>101</v>
      </c>
      <c r="K435" t="s">
        <v>138</v>
      </c>
      <c r="L435" t="s">
        <v>951</v>
      </c>
      <c r="M435" t="s">
        <v>65</v>
      </c>
      <c r="N435" t="s">
        <v>11</v>
      </c>
      <c r="O435">
        <v>33</v>
      </c>
      <c r="P435" t="s">
        <v>31</v>
      </c>
      <c r="Q435" t="s">
        <v>262</v>
      </c>
      <c r="R435" t="s">
        <v>263</v>
      </c>
      <c r="S435" t="s">
        <v>218</v>
      </c>
      <c r="T435" t="s">
        <v>35</v>
      </c>
      <c r="U435">
        <v>1</v>
      </c>
      <c r="V435">
        <v>40</v>
      </c>
      <c r="W435">
        <v>112</v>
      </c>
      <c r="X435">
        <v>10</v>
      </c>
      <c r="Y435">
        <v>100.8</v>
      </c>
      <c r="Z435">
        <v>60.8</v>
      </c>
      <c r="AA435" t="s">
        <v>36</v>
      </c>
      <c r="AB435" t="s">
        <v>44</v>
      </c>
      <c r="AC435">
        <v>4</v>
      </c>
      <c r="AD435" t="s">
        <v>19</v>
      </c>
      <c r="AE435" t="s">
        <v>20</v>
      </c>
      <c r="AF435" t="str">
        <f t="shared" si="13"/>
        <v>Yes</v>
      </c>
    </row>
    <row r="436" spans="1:32" x14ac:dyDescent="0.3">
      <c r="A436" t="s">
        <v>952</v>
      </c>
      <c r="B436" s="1">
        <v>45783</v>
      </c>
      <c r="C436" t="s">
        <v>337</v>
      </c>
      <c r="D436">
        <f t="shared" si="12"/>
        <v>17</v>
      </c>
      <c r="E436" t="s">
        <v>47</v>
      </c>
      <c r="F436" t="s">
        <v>48</v>
      </c>
      <c r="G436" t="s">
        <v>181</v>
      </c>
      <c r="H436" t="s">
        <v>5</v>
      </c>
      <c r="I436" t="s">
        <v>6</v>
      </c>
      <c r="J436" t="s">
        <v>7</v>
      </c>
      <c r="K436" t="s">
        <v>352</v>
      </c>
      <c r="L436" t="s">
        <v>569</v>
      </c>
      <c r="M436" t="s">
        <v>261</v>
      </c>
      <c r="N436" t="s">
        <v>11</v>
      </c>
      <c r="O436">
        <v>43</v>
      </c>
      <c r="P436" t="s">
        <v>31</v>
      </c>
      <c r="Q436" t="s">
        <v>230</v>
      </c>
      <c r="R436" t="s">
        <v>231</v>
      </c>
      <c r="S436" t="s">
        <v>128</v>
      </c>
      <c r="T436" t="s">
        <v>35</v>
      </c>
      <c r="U436">
        <v>1</v>
      </c>
      <c r="V436">
        <v>62</v>
      </c>
      <c r="W436">
        <v>186</v>
      </c>
      <c r="X436">
        <v>5</v>
      </c>
      <c r="Y436">
        <v>176.7</v>
      </c>
      <c r="Z436">
        <v>114.7</v>
      </c>
      <c r="AA436" t="s">
        <v>43</v>
      </c>
      <c r="AB436" t="s">
        <v>37</v>
      </c>
      <c r="AC436">
        <v>4</v>
      </c>
      <c r="AD436" t="s">
        <v>19</v>
      </c>
      <c r="AE436" t="s">
        <v>20</v>
      </c>
      <c r="AF436" t="str">
        <f t="shared" si="13"/>
        <v>Yes</v>
      </c>
    </row>
    <row r="437" spans="1:32" x14ac:dyDescent="0.3">
      <c r="A437" t="s">
        <v>953</v>
      </c>
      <c r="B437" s="1">
        <v>45800</v>
      </c>
      <c r="C437" t="s">
        <v>113</v>
      </c>
      <c r="D437">
        <f t="shared" si="12"/>
        <v>8</v>
      </c>
      <c r="E437" t="s">
        <v>47</v>
      </c>
      <c r="F437" t="s">
        <v>48</v>
      </c>
      <c r="G437" t="s">
        <v>40</v>
      </c>
      <c r="H437" t="s">
        <v>122</v>
      </c>
      <c r="I437" t="s">
        <v>123</v>
      </c>
      <c r="J437" t="s">
        <v>7</v>
      </c>
      <c r="K437" t="s">
        <v>107</v>
      </c>
      <c r="L437" t="s">
        <v>454</v>
      </c>
      <c r="M437" t="s">
        <v>65</v>
      </c>
      <c r="N437" t="s">
        <v>11</v>
      </c>
      <c r="O437">
        <v>25</v>
      </c>
      <c r="P437" t="s">
        <v>31</v>
      </c>
      <c r="Q437" t="s">
        <v>193</v>
      </c>
      <c r="R437" t="s">
        <v>194</v>
      </c>
      <c r="S437" t="s">
        <v>172</v>
      </c>
      <c r="T437" t="s">
        <v>35</v>
      </c>
      <c r="U437">
        <v>2</v>
      </c>
      <c r="V437">
        <v>35</v>
      </c>
      <c r="W437">
        <v>87.5</v>
      </c>
      <c r="X437">
        <v>5</v>
      </c>
      <c r="Y437">
        <v>166.25</v>
      </c>
      <c r="Z437">
        <v>96.25</v>
      </c>
      <c r="AA437" t="s">
        <v>36</v>
      </c>
      <c r="AB437" t="s">
        <v>129</v>
      </c>
      <c r="AD437" t="s">
        <v>105</v>
      </c>
      <c r="AE437" t="s">
        <v>95</v>
      </c>
      <c r="AF437" t="str">
        <f t="shared" si="13"/>
        <v>No</v>
      </c>
    </row>
    <row r="438" spans="1:32" x14ac:dyDescent="0.3">
      <c r="A438" t="s">
        <v>954</v>
      </c>
      <c r="B438" s="1">
        <v>45772</v>
      </c>
      <c r="C438" t="s">
        <v>543</v>
      </c>
      <c r="D438">
        <f t="shared" si="12"/>
        <v>15</v>
      </c>
      <c r="E438" t="s">
        <v>60</v>
      </c>
      <c r="F438" t="s">
        <v>48</v>
      </c>
      <c r="G438" t="s">
        <v>40</v>
      </c>
      <c r="H438" t="s">
        <v>150</v>
      </c>
      <c r="I438" t="s">
        <v>151</v>
      </c>
      <c r="J438" t="s">
        <v>152</v>
      </c>
      <c r="K438" t="s">
        <v>196</v>
      </c>
      <c r="L438" t="s">
        <v>355</v>
      </c>
      <c r="M438" t="s">
        <v>162</v>
      </c>
      <c r="N438" t="s">
        <v>11</v>
      </c>
      <c r="O438">
        <v>65</v>
      </c>
      <c r="P438" t="s">
        <v>91</v>
      </c>
      <c r="Q438" t="s">
        <v>235</v>
      </c>
      <c r="R438" t="s">
        <v>236</v>
      </c>
      <c r="S438" t="s">
        <v>237</v>
      </c>
      <c r="T438" t="s">
        <v>35</v>
      </c>
      <c r="U438">
        <v>1</v>
      </c>
      <c r="V438">
        <v>22</v>
      </c>
      <c r="W438">
        <v>61.6</v>
      </c>
      <c r="X438">
        <v>10</v>
      </c>
      <c r="Y438">
        <v>55.44</v>
      </c>
      <c r="Z438">
        <v>33.44</v>
      </c>
      <c r="AA438" t="s">
        <v>17</v>
      </c>
      <c r="AB438" t="s">
        <v>18</v>
      </c>
      <c r="AC438">
        <v>3</v>
      </c>
      <c r="AD438" t="s">
        <v>105</v>
      </c>
      <c r="AE438" t="s">
        <v>20</v>
      </c>
      <c r="AF438" t="str">
        <f t="shared" si="13"/>
        <v>Yes</v>
      </c>
    </row>
    <row r="439" spans="1:32" x14ac:dyDescent="0.3">
      <c r="A439" t="s">
        <v>955</v>
      </c>
      <c r="B439" s="1">
        <v>45717</v>
      </c>
      <c r="C439" t="s">
        <v>174</v>
      </c>
      <c r="D439">
        <f t="shared" si="12"/>
        <v>17</v>
      </c>
      <c r="E439" t="s">
        <v>72</v>
      </c>
      <c r="F439" t="s">
        <v>3</v>
      </c>
      <c r="G439" t="s">
        <v>132</v>
      </c>
      <c r="H439" t="s">
        <v>159</v>
      </c>
      <c r="I439" t="s">
        <v>160</v>
      </c>
      <c r="J439" t="s">
        <v>161</v>
      </c>
      <c r="K439" t="s">
        <v>74</v>
      </c>
      <c r="L439" t="s">
        <v>956</v>
      </c>
      <c r="M439" t="s">
        <v>184</v>
      </c>
      <c r="N439" t="s">
        <v>11</v>
      </c>
      <c r="O439">
        <v>24</v>
      </c>
      <c r="P439" t="s">
        <v>31</v>
      </c>
      <c r="Q439" t="s">
        <v>155</v>
      </c>
      <c r="R439" t="s">
        <v>156</v>
      </c>
      <c r="S439" t="s">
        <v>34</v>
      </c>
      <c r="T439" t="s">
        <v>16</v>
      </c>
      <c r="U439">
        <v>2</v>
      </c>
      <c r="V439">
        <v>40</v>
      </c>
      <c r="W439">
        <v>100</v>
      </c>
      <c r="X439">
        <v>10</v>
      </c>
      <c r="Y439">
        <v>180</v>
      </c>
      <c r="Z439">
        <v>100</v>
      </c>
      <c r="AA439" t="s">
        <v>17</v>
      </c>
      <c r="AB439" t="s">
        <v>44</v>
      </c>
      <c r="AC439">
        <v>4</v>
      </c>
      <c r="AD439" t="s">
        <v>19</v>
      </c>
      <c r="AE439" t="s">
        <v>20</v>
      </c>
      <c r="AF439" t="str">
        <f t="shared" si="13"/>
        <v>Yes</v>
      </c>
    </row>
    <row r="440" spans="1:32" x14ac:dyDescent="0.3">
      <c r="A440" t="s">
        <v>957</v>
      </c>
      <c r="B440" s="1">
        <v>45700</v>
      </c>
      <c r="C440" t="s">
        <v>758</v>
      </c>
      <c r="D440">
        <f t="shared" si="12"/>
        <v>12</v>
      </c>
      <c r="E440" t="s">
        <v>145</v>
      </c>
      <c r="F440" t="s">
        <v>3</v>
      </c>
      <c r="G440" t="s">
        <v>73</v>
      </c>
      <c r="H440" t="s">
        <v>159</v>
      </c>
      <c r="I440" t="s">
        <v>160</v>
      </c>
      <c r="J440" t="s">
        <v>161</v>
      </c>
      <c r="K440" t="s">
        <v>245</v>
      </c>
      <c r="L440" t="s">
        <v>958</v>
      </c>
      <c r="M440" t="s">
        <v>169</v>
      </c>
      <c r="N440" t="s">
        <v>30</v>
      </c>
      <c r="O440">
        <v>31</v>
      </c>
      <c r="P440" t="s">
        <v>31</v>
      </c>
      <c r="Q440" t="s">
        <v>272</v>
      </c>
      <c r="R440" t="s">
        <v>273</v>
      </c>
      <c r="S440" t="s">
        <v>57</v>
      </c>
      <c r="T440" t="s">
        <v>16</v>
      </c>
      <c r="U440">
        <v>2</v>
      </c>
      <c r="V440">
        <v>55</v>
      </c>
      <c r="W440">
        <v>154</v>
      </c>
      <c r="X440">
        <v>0</v>
      </c>
      <c r="Y440">
        <v>308</v>
      </c>
      <c r="Z440">
        <v>198</v>
      </c>
      <c r="AA440" t="s">
        <v>36</v>
      </c>
      <c r="AB440" t="s">
        <v>44</v>
      </c>
      <c r="AC440">
        <v>4</v>
      </c>
      <c r="AD440" t="s">
        <v>105</v>
      </c>
      <c r="AE440" t="s">
        <v>95</v>
      </c>
      <c r="AF440" t="str">
        <f t="shared" si="13"/>
        <v>No</v>
      </c>
    </row>
    <row r="441" spans="1:32" x14ac:dyDescent="0.3">
      <c r="A441" t="s">
        <v>959</v>
      </c>
      <c r="B441" s="1">
        <v>45731</v>
      </c>
      <c r="C441" t="s">
        <v>373</v>
      </c>
      <c r="D441">
        <f t="shared" si="12"/>
        <v>9</v>
      </c>
      <c r="E441" t="s">
        <v>72</v>
      </c>
      <c r="F441" t="s">
        <v>3</v>
      </c>
      <c r="G441" t="s">
        <v>132</v>
      </c>
      <c r="H441" t="s">
        <v>24</v>
      </c>
      <c r="I441" t="s">
        <v>25</v>
      </c>
      <c r="J441" t="s">
        <v>26</v>
      </c>
      <c r="K441" t="s">
        <v>51</v>
      </c>
      <c r="L441" t="s">
        <v>589</v>
      </c>
      <c r="M441" t="s">
        <v>10</v>
      </c>
      <c r="N441" t="s">
        <v>30</v>
      </c>
      <c r="O441">
        <v>39</v>
      </c>
      <c r="P441" t="s">
        <v>91</v>
      </c>
      <c r="Q441" t="s">
        <v>235</v>
      </c>
      <c r="R441" t="s">
        <v>236</v>
      </c>
      <c r="S441" t="s">
        <v>237</v>
      </c>
      <c r="T441" t="s">
        <v>35</v>
      </c>
      <c r="U441">
        <v>2</v>
      </c>
      <c r="V441">
        <v>22</v>
      </c>
      <c r="W441">
        <v>61.6</v>
      </c>
      <c r="X441">
        <v>5</v>
      </c>
      <c r="Y441">
        <v>117.04</v>
      </c>
      <c r="Z441">
        <v>73.040000000000006</v>
      </c>
      <c r="AA441" t="s">
        <v>36</v>
      </c>
      <c r="AB441" t="s">
        <v>37</v>
      </c>
      <c r="AC441">
        <v>4</v>
      </c>
      <c r="AD441" t="s">
        <v>105</v>
      </c>
      <c r="AE441" t="s">
        <v>20</v>
      </c>
      <c r="AF441" t="str">
        <f t="shared" si="13"/>
        <v>Yes</v>
      </c>
    </row>
    <row r="442" spans="1:32" x14ac:dyDescent="0.3">
      <c r="A442" t="s">
        <v>960</v>
      </c>
      <c r="B442" s="1">
        <v>45675</v>
      </c>
      <c r="C442" t="s">
        <v>351</v>
      </c>
      <c r="D442">
        <f t="shared" si="12"/>
        <v>9</v>
      </c>
      <c r="E442" t="s">
        <v>2</v>
      </c>
      <c r="F442" t="s">
        <v>3</v>
      </c>
      <c r="G442" t="s">
        <v>132</v>
      </c>
      <c r="H442" t="s">
        <v>61</v>
      </c>
      <c r="I442" t="s">
        <v>62</v>
      </c>
      <c r="J442" t="s">
        <v>7</v>
      </c>
      <c r="K442" t="s">
        <v>138</v>
      </c>
      <c r="L442" t="s">
        <v>183</v>
      </c>
      <c r="M442" t="s">
        <v>162</v>
      </c>
      <c r="N442" t="s">
        <v>11</v>
      </c>
      <c r="O442">
        <v>49</v>
      </c>
      <c r="P442" t="s">
        <v>12</v>
      </c>
      <c r="Q442" t="s">
        <v>370</v>
      </c>
      <c r="R442" t="s">
        <v>371</v>
      </c>
      <c r="S442" t="s">
        <v>111</v>
      </c>
      <c r="T442" t="s">
        <v>35</v>
      </c>
      <c r="U442">
        <v>2</v>
      </c>
      <c r="V442">
        <v>99</v>
      </c>
      <c r="W442">
        <v>247.5</v>
      </c>
      <c r="X442">
        <v>5</v>
      </c>
      <c r="Y442">
        <v>470.25</v>
      </c>
      <c r="Z442">
        <v>272.25</v>
      </c>
      <c r="AA442" t="s">
        <v>17</v>
      </c>
      <c r="AB442" t="s">
        <v>87</v>
      </c>
      <c r="AD442" t="s">
        <v>19</v>
      </c>
      <c r="AE442" t="s">
        <v>95</v>
      </c>
      <c r="AF442" t="str">
        <f t="shared" si="13"/>
        <v>No</v>
      </c>
    </row>
    <row r="443" spans="1:32" x14ac:dyDescent="0.3">
      <c r="A443" t="s">
        <v>961</v>
      </c>
      <c r="B443" s="1">
        <v>45743</v>
      </c>
      <c r="C443" t="s">
        <v>516</v>
      </c>
      <c r="D443">
        <f t="shared" si="12"/>
        <v>16</v>
      </c>
      <c r="E443" t="s">
        <v>72</v>
      </c>
      <c r="F443" t="s">
        <v>3</v>
      </c>
      <c r="G443" t="s">
        <v>98</v>
      </c>
      <c r="H443" t="s">
        <v>24</v>
      </c>
      <c r="I443" t="s">
        <v>25</v>
      </c>
      <c r="J443" t="s">
        <v>26</v>
      </c>
      <c r="K443" t="s">
        <v>41</v>
      </c>
      <c r="L443" t="s">
        <v>441</v>
      </c>
      <c r="M443" t="s">
        <v>162</v>
      </c>
      <c r="N443" t="s">
        <v>11</v>
      </c>
      <c r="O443">
        <v>31</v>
      </c>
      <c r="P443" t="s">
        <v>91</v>
      </c>
      <c r="Q443" t="s">
        <v>300</v>
      </c>
      <c r="R443" t="s">
        <v>301</v>
      </c>
      <c r="S443" t="s">
        <v>187</v>
      </c>
      <c r="T443" t="s">
        <v>35</v>
      </c>
      <c r="U443">
        <v>2</v>
      </c>
      <c r="V443">
        <v>86</v>
      </c>
      <c r="W443">
        <v>258</v>
      </c>
      <c r="X443">
        <v>0</v>
      </c>
      <c r="Y443">
        <v>516</v>
      </c>
      <c r="Z443">
        <v>344</v>
      </c>
      <c r="AA443" t="s">
        <v>43</v>
      </c>
      <c r="AB443" t="s">
        <v>37</v>
      </c>
      <c r="AC443">
        <v>3</v>
      </c>
      <c r="AD443" t="s">
        <v>105</v>
      </c>
      <c r="AE443" t="s">
        <v>20</v>
      </c>
      <c r="AF443" t="str">
        <f t="shared" si="13"/>
        <v>Yes</v>
      </c>
    </row>
    <row r="444" spans="1:32" x14ac:dyDescent="0.3">
      <c r="A444" t="s">
        <v>962</v>
      </c>
      <c r="B444" s="1">
        <v>45698</v>
      </c>
      <c r="C444" t="s">
        <v>46</v>
      </c>
      <c r="D444">
        <f t="shared" si="12"/>
        <v>19</v>
      </c>
      <c r="E444" t="s">
        <v>145</v>
      </c>
      <c r="F444" t="s">
        <v>3</v>
      </c>
      <c r="G444" t="s">
        <v>23</v>
      </c>
      <c r="H444" t="s">
        <v>5</v>
      </c>
      <c r="I444" t="s">
        <v>6</v>
      </c>
      <c r="J444" t="s">
        <v>7</v>
      </c>
      <c r="K444" t="s">
        <v>346</v>
      </c>
      <c r="L444" t="s">
        <v>963</v>
      </c>
      <c r="M444" t="s">
        <v>29</v>
      </c>
      <c r="N444" t="s">
        <v>30</v>
      </c>
      <c r="O444">
        <v>17</v>
      </c>
      <c r="P444" t="s">
        <v>12</v>
      </c>
      <c r="Q444" t="s">
        <v>126</v>
      </c>
      <c r="R444" t="s">
        <v>127</v>
      </c>
      <c r="S444" t="s">
        <v>128</v>
      </c>
      <c r="T444" t="s">
        <v>35</v>
      </c>
      <c r="U444">
        <v>1</v>
      </c>
      <c r="V444">
        <v>69</v>
      </c>
      <c r="W444">
        <v>193.2</v>
      </c>
      <c r="X444">
        <v>5</v>
      </c>
      <c r="Y444">
        <v>183.54</v>
      </c>
      <c r="Z444">
        <v>114.54</v>
      </c>
      <c r="AA444" t="s">
        <v>179</v>
      </c>
      <c r="AB444" t="s">
        <v>18</v>
      </c>
      <c r="AC444">
        <v>5</v>
      </c>
      <c r="AD444" t="s">
        <v>105</v>
      </c>
      <c r="AE444" t="s">
        <v>20</v>
      </c>
      <c r="AF444" t="str">
        <f t="shared" si="13"/>
        <v>Yes</v>
      </c>
    </row>
    <row r="445" spans="1:32" x14ac:dyDescent="0.3">
      <c r="A445" t="s">
        <v>964</v>
      </c>
      <c r="B445" s="1">
        <v>45757</v>
      </c>
      <c r="C445" t="s">
        <v>474</v>
      </c>
      <c r="D445">
        <f t="shared" si="12"/>
        <v>12</v>
      </c>
      <c r="E445" t="s">
        <v>60</v>
      </c>
      <c r="F445" t="s">
        <v>48</v>
      </c>
      <c r="G445" t="s">
        <v>98</v>
      </c>
      <c r="H445" t="s">
        <v>150</v>
      </c>
      <c r="I445" t="s">
        <v>151</v>
      </c>
      <c r="J445" t="s">
        <v>152</v>
      </c>
      <c r="K445" t="s">
        <v>27</v>
      </c>
      <c r="L445" t="s">
        <v>910</v>
      </c>
      <c r="M445" t="s">
        <v>10</v>
      </c>
      <c r="N445" t="s">
        <v>11</v>
      </c>
      <c r="O445">
        <v>43</v>
      </c>
      <c r="P445" t="s">
        <v>54</v>
      </c>
      <c r="Q445" t="s">
        <v>390</v>
      </c>
      <c r="R445" t="s">
        <v>391</v>
      </c>
      <c r="S445" t="s">
        <v>172</v>
      </c>
      <c r="T445" t="s">
        <v>16</v>
      </c>
      <c r="U445">
        <v>1</v>
      </c>
      <c r="V445">
        <v>69</v>
      </c>
      <c r="W445">
        <v>193.2</v>
      </c>
      <c r="X445">
        <v>0</v>
      </c>
      <c r="Y445">
        <v>193.2</v>
      </c>
      <c r="Z445">
        <v>124.2</v>
      </c>
      <c r="AA445" t="s">
        <v>36</v>
      </c>
      <c r="AB445" t="s">
        <v>129</v>
      </c>
      <c r="AC445">
        <v>4</v>
      </c>
      <c r="AD445" t="s">
        <v>105</v>
      </c>
      <c r="AE445" t="s">
        <v>20</v>
      </c>
      <c r="AF445" t="str">
        <f t="shared" si="13"/>
        <v>Yes</v>
      </c>
    </row>
    <row r="446" spans="1:32" x14ac:dyDescent="0.3">
      <c r="A446" t="s">
        <v>965</v>
      </c>
      <c r="B446" s="1">
        <v>45759</v>
      </c>
      <c r="C446" t="s">
        <v>303</v>
      </c>
      <c r="D446">
        <f t="shared" si="12"/>
        <v>12</v>
      </c>
      <c r="E446" t="s">
        <v>60</v>
      </c>
      <c r="F446" t="s">
        <v>48</v>
      </c>
      <c r="G446" t="s">
        <v>132</v>
      </c>
      <c r="H446" t="s">
        <v>164</v>
      </c>
      <c r="I446" t="s">
        <v>165</v>
      </c>
      <c r="J446" t="s">
        <v>166</v>
      </c>
      <c r="K446" t="s">
        <v>63</v>
      </c>
      <c r="L446" t="s">
        <v>966</v>
      </c>
      <c r="M446" t="s">
        <v>162</v>
      </c>
      <c r="N446" t="s">
        <v>11</v>
      </c>
      <c r="O446">
        <v>54</v>
      </c>
      <c r="P446" t="s">
        <v>54</v>
      </c>
      <c r="Q446" t="s">
        <v>155</v>
      </c>
      <c r="R446" t="s">
        <v>156</v>
      </c>
      <c r="S446" t="s">
        <v>34</v>
      </c>
      <c r="T446" t="s">
        <v>16</v>
      </c>
      <c r="U446">
        <v>2</v>
      </c>
      <c r="V446">
        <v>40</v>
      </c>
      <c r="W446">
        <v>100</v>
      </c>
      <c r="X446">
        <v>0</v>
      </c>
      <c r="Y446">
        <v>200</v>
      </c>
      <c r="Z446">
        <v>120</v>
      </c>
      <c r="AA446" t="s">
        <v>17</v>
      </c>
      <c r="AB446" t="s">
        <v>87</v>
      </c>
      <c r="AD446" t="s">
        <v>105</v>
      </c>
      <c r="AE446" t="s">
        <v>95</v>
      </c>
      <c r="AF446" t="str">
        <f t="shared" si="13"/>
        <v>No</v>
      </c>
    </row>
    <row r="447" spans="1:32" x14ac:dyDescent="0.3">
      <c r="A447" t="s">
        <v>967</v>
      </c>
      <c r="B447" s="1">
        <v>45789</v>
      </c>
      <c r="C447" t="s">
        <v>417</v>
      </c>
      <c r="D447">
        <f t="shared" si="12"/>
        <v>16</v>
      </c>
      <c r="E447" t="s">
        <v>47</v>
      </c>
      <c r="F447" t="s">
        <v>48</v>
      </c>
      <c r="G447" t="s">
        <v>23</v>
      </c>
      <c r="H447" t="s">
        <v>159</v>
      </c>
      <c r="I447" t="s">
        <v>160</v>
      </c>
      <c r="J447" t="s">
        <v>161</v>
      </c>
      <c r="K447" t="s">
        <v>63</v>
      </c>
      <c r="L447" t="s">
        <v>251</v>
      </c>
      <c r="M447" t="s">
        <v>65</v>
      </c>
      <c r="N447" t="s">
        <v>11</v>
      </c>
      <c r="O447">
        <v>18</v>
      </c>
      <c r="P447" t="s">
        <v>54</v>
      </c>
      <c r="Q447" t="s">
        <v>55</v>
      </c>
      <c r="R447" t="s">
        <v>56</v>
      </c>
      <c r="S447" t="s">
        <v>57</v>
      </c>
      <c r="T447" t="s">
        <v>35</v>
      </c>
      <c r="U447">
        <v>2</v>
      </c>
      <c r="V447">
        <v>36</v>
      </c>
      <c r="W447">
        <v>79.2</v>
      </c>
      <c r="X447">
        <v>0</v>
      </c>
      <c r="Y447">
        <v>158.4</v>
      </c>
      <c r="Z447">
        <v>86.4</v>
      </c>
      <c r="AA447" t="s">
        <v>17</v>
      </c>
      <c r="AB447" t="s">
        <v>119</v>
      </c>
      <c r="AD447" t="s">
        <v>19</v>
      </c>
      <c r="AE447" t="s">
        <v>95</v>
      </c>
      <c r="AF447" t="str">
        <f t="shared" si="13"/>
        <v>No</v>
      </c>
    </row>
    <row r="448" spans="1:32" x14ac:dyDescent="0.3">
      <c r="A448" t="s">
        <v>968</v>
      </c>
      <c r="B448" s="1">
        <v>45818</v>
      </c>
      <c r="C448" t="s">
        <v>373</v>
      </c>
      <c r="D448">
        <f t="shared" si="12"/>
        <v>9</v>
      </c>
      <c r="E448" t="s">
        <v>131</v>
      </c>
      <c r="F448" t="s">
        <v>48</v>
      </c>
      <c r="G448" t="s">
        <v>181</v>
      </c>
      <c r="H448" t="s">
        <v>61</v>
      </c>
      <c r="I448" t="s">
        <v>62</v>
      </c>
      <c r="J448" t="s">
        <v>7</v>
      </c>
      <c r="K448" t="s">
        <v>182</v>
      </c>
      <c r="L448" t="s">
        <v>208</v>
      </c>
      <c r="M448" t="s">
        <v>10</v>
      </c>
      <c r="N448" t="s">
        <v>11</v>
      </c>
      <c r="O448">
        <v>21</v>
      </c>
      <c r="P448" t="s">
        <v>54</v>
      </c>
      <c r="Q448" t="s">
        <v>92</v>
      </c>
      <c r="R448" t="s">
        <v>93</v>
      </c>
      <c r="S448" t="s">
        <v>94</v>
      </c>
      <c r="T448" t="s">
        <v>16</v>
      </c>
      <c r="U448">
        <v>3</v>
      </c>
      <c r="V448">
        <v>85</v>
      </c>
      <c r="W448">
        <v>255</v>
      </c>
      <c r="X448">
        <v>5</v>
      </c>
      <c r="Y448">
        <v>726.75</v>
      </c>
      <c r="Z448">
        <v>471.75</v>
      </c>
      <c r="AA448" t="s">
        <v>36</v>
      </c>
      <c r="AB448" t="s">
        <v>129</v>
      </c>
      <c r="AC448">
        <v>4</v>
      </c>
      <c r="AD448" t="s">
        <v>19</v>
      </c>
      <c r="AE448" t="s">
        <v>20</v>
      </c>
      <c r="AF448" t="str">
        <f t="shared" si="13"/>
        <v>Yes</v>
      </c>
    </row>
    <row r="449" spans="1:32" x14ac:dyDescent="0.3">
      <c r="A449" t="s">
        <v>969</v>
      </c>
      <c r="B449" s="1">
        <v>45764</v>
      </c>
      <c r="C449" t="s">
        <v>71</v>
      </c>
      <c r="D449">
        <f t="shared" si="12"/>
        <v>10</v>
      </c>
      <c r="E449" t="s">
        <v>60</v>
      </c>
      <c r="F449" t="s">
        <v>48</v>
      </c>
      <c r="G449" t="s">
        <v>98</v>
      </c>
      <c r="H449" t="s">
        <v>164</v>
      </c>
      <c r="I449" t="s">
        <v>165</v>
      </c>
      <c r="J449" t="s">
        <v>166</v>
      </c>
      <c r="K449" t="s">
        <v>124</v>
      </c>
      <c r="L449" t="s">
        <v>382</v>
      </c>
      <c r="M449" t="s">
        <v>184</v>
      </c>
      <c r="N449" t="s">
        <v>30</v>
      </c>
      <c r="O449">
        <v>50</v>
      </c>
      <c r="P449" t="s">
        <v>76</v>
      </c>
      <c r="Q449" t="s">
        <v>13</v>
      </c>
      <c r="R449" t="s">
        <v>14</v>
      </c>
      <c r="S449" t="s">
        <v>15</v>
      </c>
      <c r="T449" t="s">
        <v>16</v>
      </c>
      <c r="U449">
        <v>1</v>
      </c>
      <c r="V449">
        <v>43</v>
      </c>
      <c r="W449">
        <v>129</v>
      </c>
      <c r="X449">
        <v>15</v>
      </c>
      <c r="Y449">
        <v>109.65</v>
      </c>
      <c r="Z449">
        <v>66.650000000000006</v>
      </c>
      <c r="AA449" t="s">
        <v>69</v>
      </c>
      <c r="AB449" t="s">
        <v>87</v>
      </c>
      <c r="AC449">
        <v>3</v>
      </c>
      <c r="AD449" t="s">
        <v>105</v>
      </c>
      <c r="AE449" t="s">
        <v>20</v>
      </c>
      <c r="AF449" t="str">
        <f t="shared" si="13"/>
        <v>Yes</v>
      </c>
    </row>
    <row r="450" spans="1:32" x14ac:dyDescent="0.3">
      <c r="A450" t="s">
        <v>970</v>
      </c>
      <c r="B450" s="1">
        <v>45808</v>
      </c>
      <c r="C450" t="s">
        <v>322</v>
      </c>
      <c r="D450">
        <f t="shared" ref="D450:D513" si="14">HOUR(C450)</f>
        <v>10</v>
      </c>
      <c r="E450" t="s">
        <v>47</v>
      </c>
      <c r="F450" t="s">
        <v>48</v>
      </c>
      <c r="G450" t="s">
        <v>132</v>
      </c>
      <c r="H450" t="s">
        <v>81</v>
      </c>
      <c r="I450" t="s">
        <v>82</v>
      </c>
      <c r="J450" t="s">
        <v>7</v>
      </c>
      <c r="K450" t="s">
        <v>74</v>
      </c>
      <c r="L450" t="s">
        <v>928</v>
      </c>
      <c r="M450" t="s">
        <v>261</v>
      </c>
      <c r="N450" t="s">
        <v>11</v>
      </c>
      <c r="O450">
        <v>54</v>
      </c>
      <c r="P450" t="s">
        <v>76</v>
      </c>
      <c r="Q450" t="s">
        <v>116</v>
      </c>
      <c r="R450" t="s">
        <v>117</v>
      </c>
      <c r="S450" t="s">
        <v>118</v>
      </c>
      <c r="T450" t="s">
        <v>35</v>
      </c>
      <c r="U450">
        <v>2</v>
      </c>
      <c r="V450">
        <v>99</v>
      </c>
      <c r="W450">
        <v>277.2</v>
      </c>
      <c r="X450">
        <v>0</v>
      </c>
      <c r="Y450">
        <v>554.4</v>
      </c>
      <c r="Z450">
        <v>356.4</v>
      </c>
      <c r="AA450" t="s">
        <v>69</v>
      </c>
      <c r="AB450" t="s">
        <v>44</v>
      </c>
      <c r="AC450">
        <v>3</v>
      </c>
      <c r="AD450" t="s">
        <v>19</v>
      </c>
      <c r="AE450" t="s">
        <v>95</v>
      </c>
      <c r="AF450" t="str">
        <f t="shared" si="13"/>
        <v>No</v>
      </c>
    </row>
    <row r="451" spans="1:32" x14ac:dyDescent="0.3">
      <c r="A451" t="s">
        <v>971</v>
      </c>
      <c r="B451" s="1">
        <v>45670</v>
      </c>
      <c r="C451" t="s">
        <v>322</v>
      </c>
      <c r="D451">
        <f t="shared" si="14"/>
        <v>10</v>
      </c>
      <c r="E451" t="s">
        <v>2</v>
      </c>
      <c r="F451" t="s">
        <v>3</v>
      </c>
      <c r="G451" t="s">
        <v>23</v>
      </c>
      <c r="H451" t="s">
        <v>49</v>
      </c>
      <c r="I451" t="s">
        <v>50</v>
      </c>
      <c r="J451" t="s">
        <v>7</v>
      </c>
      <c r="K451" t="s">
        <v>306</v>
      </c>
      <c r="L451" t="s">
        <v>972</v>
      </c>
      <c r="M451" t="s">
        <v>169</v>
      </c>
      <c r="N451" t="s">
        <v>30</v>
      </c>
      <c r="O451">
        <v>65</v>
      </c>
      <c r="P451" t="s">
        <v>31</v>
      </c>
      <c r="Q451" t="s">
        <v>295</v>
      </c>
      <c r="R451" t="s">
        <v>296</v>
      </c>
      <c r="S451" t="s">
        <v>57</v>
      </c>
      <c r="T451" t="s">
        <v>35</v>
      </c>
      <c r="U451">
        <v>2</v>
      </c>
      <c r="V451">
        <v>62</v>
      </c>
      <c r="W451">
        <v>186</v>
      </c>
      <c r="X451">
        <v>15</v>
      </c>
      <c r="Y451">
        <v>316.2</v>
      </c>
      <c r="Z451">
        <v>192.2</v>
      </c>
      <c r="AA451" t="s">
        <v>36</v>
      </c>
      <c r="AB451" t="s">
        <v>18</v>
      </c>
      <c r="AC451">
        <v>4</v>
      </c>
      <c r="AD451" t="s">
        <v>105</v>
      </c>
      <c r="AE451" t="s">
        <v>20</v>
      </c>
      <c r="AF451" t="str">
        <f t="shared" si="13"/>
        <v>Yes</v>
      </c>
    </row>
    <row r="452" spans="1:32" x14ac:dyDescent="0.3">
      <c r="A452" t="s">
        <v>973</v>
      </c>
      <c r="B452" s="1">
        <v>45821</v>
      </c>
      <c r="C452" t="s">
        <v>758</v>
      </c>
      <c r="D452">
        <f t="shared" si="14"/>
        <v>12</v>
      </c>
      <c r="E452" t="s">
        <v>131</v>
      </c>
      <c r="F452" t="s">
        <v>48</v>
      </c>
      <c r="G452" t="s">
        <v>40</v>
      </c>
      <c r="H452" t="s">
        <v>24</v>
      </c>
      <c r="I452" t="s">
        <v>25</v>
      </c>
      <c r="J452" t="s">
        <v>26</v>
      </c>
      <c r="K452" t="s">
        <v>107</v>
      </c>
      <c r="L452" t="s">
        <v>9</v>
      </c>
      <c r="M452" t="s">
        <v>10</v>
      </c>
      <c r="N452" t="s">
        <v>30</v>
      </c>
      <c r="O452">
        <v>20</v>
      </c>
      <c r="P452" t="s">
        <v>12</v>
      </c>
      <c r="Q452" t="s">
        <v>295</v>
      </c>
      <c r="R452" t="s">
        <v>296</v>
      </c>
      <c r="S452" t="s">
        <v>57</v>
      </c>
      <c r="T452" t="s">
        <v>35</v>
      </c>
      <c r="U452">
        <v>1</v>
      </c>
      <c r="V452">
        <v>62</v>
      </c>
      <c r="W452">
        <v>186</v>
      </c>
      <c r="X452">
        <v>5</v>
      </c>
      <c r="Y452">
        <v>176.7</v>
      </c>
      <c r="Z452">
        <v>114.7</v>
      </c>
      <c r="AA452" t="s">
        <v>17</v>
      </c>
      <c r="AB452" t="s">
        <v>18</v>
      </c>
      <c r="AC452">
        <v>5</v>
      </c>
      <c r="AD452" t="s">
        <v>19</v>
      </c>
      <c r="AE452" t="s">
        <v>95</v>
      </c>
      <c r="AF452" t="str">
        <f t="shared" ref="AF452:AF515" si="15">IF(AE452="Completed","Yes",IF(AE452="Cancelled","No","Review"))</f>
        <v>No</v>
      </c>
    </row>
    <row r="453" spans="1:32" x14ac:dyDescent="0.3">
      <c r="A453" t="s">
        <v>974</v>
      </c>
      <c r="B453" s="1">
        <v>45698</v>
      </c>
      <c r="C453" t="s">
        <v>207</v>
      </c>
      <c r="D453">
        <f t="shared" si="14"/>
        <v>20</v>
      </c>
      <c r="E453" t="s">
        <v>145</v>
      </c>
      <c r="F453" t="s">
        <v>3</v>
      </c>
      <c r="G453" t="s">
        <v>23</v>
      </c>
      <c r="H453" t="s">
        <v>99</v>
      </c>
      <c r="I453" t="s">
        <v>100</v>
      </c>
      <c r="J453" t="s">
        <v>101</v>
      </c>
      <c r="K453" t="s">
        <v>74</v>
      </c>
      <c r="L453" t="s">
        <v>975</v>
      </c>
      <c r="M453" t="s">
        <v>162</v>
      </c>
      <c r="N453" t="s">
        <v>30</v>
      </c>
      <c r="O453">
        <v>61</v>
      </c>
      <c r="P453" t="s">
        <v>54</v>
      </c>
      <c r="Q453" t="s">
        <v>176</v>
      </c>
      <c r="R453" t="s">
        <v>177</v>
      </c>
      <c r="S453" t="s">
        <v>178</v>
      </c>
      <c r="T453" t="s">
        <v>16</v>
      </c>
      <c r="U453">
        <v>4</v>
      </c>
      <c r="V453">
        <v>56</v>
      </c>
      <c r="W453">
        <v>156.80000000000001</v>
      </c>
      <c r="X453">
        <v>15</v>
      </c>
      <c r="Y453">
        <v>533.12</v>
      </c>
      <c r="Z453">
        <v>309.12</v>
      </c>
      <c r="AA453" t="s">
        <v>179</v>
      </c>
      <c r="AB453" t="s">
        <v>37</v>
      </c>
      <c r="AC453">
        <v>3</v>
      </c>
      <c r="AD453" t="s">
        <v>105</v>
      </c>
      <c r="AE453" t="s">
        <v>95</v>
      </c>
      <c r="AF453" t="str">
        <f t="shared" si="15"/>
        <v>No</v>
      </c>
    </row>
    <row r="454" spans="1:32" x14ac:dyDescent="0.3">
      <c r="A454" t="s">
        <v>976</v>
      </c>
      <c r="B454" s="1">
        <v>45829</v>
      </c>
      <c r="C454" t="s">
        <v>554</v>
      </c>
      <c r="D454">
        <f t="shared" si="14"/>
        <v>11</v>
      </c>
      <c r="E454" t="s">
        <v>131</v>
      </c>
      <c r="F454" t="s">
        <v>48</v>
      </c>
      <c r="G454" t="s">
        <v>132</v>
      </c>
      <c r="H454" t="s">
        <v>159</v>
      </c>
      <c r="I454" t="s">
        <v>160</v>
      </c>
      <c r="J454" t="s">
        <v>161</v>
      </c>
      <c r="K454" t="s">
        <v>311</v>
      </c>
      <c r="L454" t="s">
        <v>754</v>
      </c>
      <c r="M454" t="s">
        <v>10</v>
      </c>
      <c r="N454" t="s">
        <v>11</v>
      </c>
      <c r="O454">
        <v>24</v>
      </c>
      <c r="P454" t="s">
        <v>31</v>
      </c>
      <c r="Q454" t="s">
        <v>92</v>
      </c>
      <c r="R454" t="s">
        <v>93</v>
      </c>
      <c r="S454" t="s">
        <v>94</v>
      </c>
      <c r="T454" t="s">
        <v>16</v>
      </c>
      <c r="U454">
        <v>1</v>
      </c>
      <c r="V454">
        <v>85</v>
      </c>
      <c r="W454">
        <v>255</v>
      </c>
      <c r="X454">
        <v>10</v>
      </c>
      <c r="Y454">
        <v>229.5</v>
      </c>
      <c r="Z454">
        <v>144.5</v>
      </c>
      <c r="AA454" t="s">
        <v>36</v>
      </c>
      <c r="AB454" t="s">
        <v>18</v>
      </c>
      <c r="AC454">
        <v>4</v>
      </c>
      <c r="AD454" t="s">
        <v>105</v>
      </c>
      <c r="AE454" t="s">
        <v>20</v>
      </c>
      <c r="AF454" t="str">
        <f t="shared" si="15"/>
        <v>Yes</v>
      </c>
    </row>
    <row r="455" spans="1:32" x14ac:dyDescent="0.3">
      <c r="A455" t="s">
        <v>977</v>
      </c>
      <c r="B455" s="1">
        <v>45832</v>
      </c>
      <c r="C455" t="s">
        <v>537</v>
      </c>
      <c r="D455">
        <f t="shared" si="14"/>
        <v>8</v>
      </c>
      <c r="E455" t="s">
        <v>131</v>
      </c>
      <c r="F455" t="s">
        <v>48</v>
      </c>
      <c r="G455" t="s">
        <v>181</v>
      </c>
      <c r="H455" t="s">
        <v>150</v>
      </c>
      <c r="I455" t="s">
        <v>151</v>
      </c>
      <c r="J455" t="s">
        <v>152</v>
      </c>
      <c r="K455" t="s">
        <v>318</v>
      </c>
      <c r="L455" t="s">
        <v>547</v>
      </c>
      <c r="M455" t="s">
        <v>53</v>
      </c>
      <c r="N455" t="s">
        <v>11</v>
      </c>
      <c r="O455">
        <v>21</v>
      </c>
      <c r="P455" t="s">
        <v>76</v>
      </c>
      <c r="Q455" t="s">
        <v>313</v>
      </c>
      <c r="R455" t="s">
        <v>314</v>
      </c>
      <c r="S455" t="s">
        <v>128</v>
      </c>
      <c r="T455" t="s">
        <v>35</v>
      </c>
      <c r="U455">
        <v>4</v>
      </c>
      <c r="V455">
        <v>81</v>
      </c>
      <c r="W455">
        <v>202.5</v>
      </c>
      <c r="X455">
        <v>5</v>
      </c>
      <c r="Y455">
        <v>769.5</v>
      </c>
      <c r="Z455">
        <v>445.5</v>
      </c>
      <c r="AA455" t="s">
        <v>17</v>
      </c>
      <c r="AB455" t="s">
        <v>44</v>
      </c>
      <c r="AC455">
        <v>3</v>
      </c>
      <c r="AD455" t="s">
        <v>105</v>
      </c>
      <c r="AE455" t="s">
        <v>95</v>
      </c>
      <c r="AF455" t="str">
        <f t="shared" si="15"/>
        <v>No</v>
      </c>
    </row>
    <row r="456" spans="1:32" x14ac:dyDescent="0.3">
      <c r="A456" t="s">
        <v>978</v>
      </c>
      <c r="B456" s="1">
        <v>45778</v>
      </c>
      <c r="C456" t="s">
        <v>373</v>
      </c>
      <c r="D456">
        <f t="shared" si="14"/>
        <v>9</v>
      </c>
      <c r="E456" t="s">
        <v>47</v>
      </c>
      <c r="F456" t="s">
        <v>48</v>
      </c>
      <c r="G456" t="s">
        <v>98</v>
      </c>
      <c r="H456" t="s">
        <v>5</v>
      </c>
      <c r="I456" t="s">
        <v>6</v>
      </c>
      <c r="J456" t="s">
        <v>7</v>
      </c>
      <c r="K456" t="s">
        <v>138</v>
      </c>
      <c r="L456" t="s">
        <v>949</v>
      </c>
      <c r="M456" t="s">
        <v>261</v>
      </c>
      <c r="N456" t="s">
        <v>11</v>
      </c>
      <c r="O456">
        <v>22</v>
      </c>
      <c r="P456" t="s">
        <v>31</v>
      </c>
      <c r="Q456" t="s">
        <v>295</v>
      </c>
      <c r="R456" t="s">
        <v>296</v>
      </c>
      <c r="S456" t="s">
        <v>57</v>
      </c>
      <c r="T456" t="s">
        <v>35</v>
      </c>
      <c r="U456">
        <v>3</v>
      </c>
      <c r="V456">
        <v>62</v>
      </c>
      <c r="W456">
        <v>186</v>
      </c>
      <c r="X456">
        <v>5</v>
      </c>
      <c r="Y456">
        <v>530.1</v>
      </c>
      <c r="Z456">
        <v>344.1</v>
      </c>
      <c r="AA456" t="s">
        <v>43</v>
      </c>
      <c r="AB456" t="s">
        <v>119</v>
      </c>
      <c r="AC456">
        <v>3</v>
      </c>
      <c r="AD456" t="s">
        <v>105</v>
      </c>
      <c r="AE456" t="s">
        <v>20</v>
      </c>
      <c r="AF456" t="str">
        <f t="shared" si="15"/>
        <v>Yes</v>
      </c>
    </row>
    <row r="457" spans="1:32" x14ac:dyDescent="0.3">
      <c r="A457" t="s">
        <v>979</v>
      </c>
      <c r="B457" s="1">
        <v>45737</v>
      </c>
      <c r="C457" t="s">
        <v>113</v>
      </c>
      <c r="D457">
        <f t="shared" si="14"/>
        <v>8</v>
      </c>
      <c r="E457" t="s">
        <v>72</v>
      </c>
      <c r="F457" t="s">
        <v>3</v>
      </c>
      <c r="G457" t="s">
        <v>40</v>
      </c>
      <c r="H457" t="s">
        <v>159</v>
      </c>
      <c r="I457" t="s">
        <v>160</v>
      </c>
      <c r="J457" t="s">
        <v>161</v>
      </c>
      <c r="K457" t="s">
        <v>83</v>
      </c>
      <c r="L457" t="s">
        <v>754</v>
      </c>
      <c r="M457" t="s">
        <v>261</v>
      </c>
      <c r="N457" t="s">
        <v>30</v>
      </c>
      <c r="O457">
        <v>48</v>
      </c>
      <c r="P457" t="s">
        <v>12</v>
      </c>
      <c r="Q457" t="s">
        <v>605</v>
      </c>
      <c r="R457" t="s">
        <v>606</v>
      </c>
      <c r="S457" t="s">
        <v>237</v>
      </c>
      <c r="T457" t="s">
        <v>35</v>
      </c>
      <c r="U457">
        <v>1</v>
      </c>
      <c r="V457">
        <v>79</v>
      </c>
      <c r="W457">
        <v>173.8</v>
      </c>
      <c r="X457">
        <v>10</v>
      </c>
      <c r="Y457">
        <v>156.41999999999999</v>
      </c>
      <c r="Z457">
        <v>77.42</v>
      </c>
      <c r="AA457" t="s">
        <v>179</v>
      </c>
      <c r="AB457" t="s">
        <v>119</v>
      </c>
      <c r="AC457">
        <v>3</v>
      </c>
      <c r="AD457" t="s">
        <v>105</v>
      </c>
      <c r="AE457" t="s">
        <v>20</v>
      </c>
      <c r="AF457" t="str">
        <f t="shared" si="15"/>
        <v>Yes</v>
      </c>
    </row>
    <row r="458" spans="1:32" x14ac:dyDescent="0.3">
      <c r="A458" t="s">
        <v>980</v>
      </c>
      <c r="B458" s="1">
        <v>45833</v>
      </c>
      <c r="C458" t="s">
        <v>158</v>
      </c>
      <c r="D458">
        <f t="shared" si="14"/>
        <v>8</v>
      </c>
      <c r="E458" t="s">
        <v>131</v>
      </c>
      <c r="F458" t="s">
        <v>48</v>
      </c>
      <c r="G458" t="s">
        <v>73</v>
      </c>
      <c r="H458" t="s">
        <v>159</v>
      </c>
      <c r="I458" t="s">
        <v>160</v>
      </c>
      <c r="J458" t="s">
        <v>161</v>
      </c>
      <c r="K458" t="s">
        <v>146</v>
      </c>
      <c r="L458" t="s">
        <v>307</v>
      </c>
      <c r="M458" t="s">
        <v>225</v>
      </c>
      <c r="N458" t="s">
        <v>30</v>
      </c>
      <c r="O458">
        <v>27</v>
      </c>
      <c r="P458" t="s">
        <v>31</v>
      </c>
      <c r="Q458" t="s">
        <v>55</v>
      </c>
      <c r="R458" t="s">
        <v>56</v>
      </c>
      <c r="S458" t="s">
        <v>57</v>
      </c>
      <c r="T458" t="s">
        <v>35</v>
      </c>
      <c r="U458">
        <v>1</v>
      </c>
      <c r="V458">
        <v>36</v>
      </c>
      <c r="W458">
        <v>79.2</v>
      </c>
      <c r="X458">
        <v>5</v>
      </c>
      <c r="Y458">
        <v>75.239999999999995</v>
      </c>
      <c r="Z458">
        <v>39.24</v>
      </c>
      <c r="AA458" t="s">
        <v>179</v>
      </c>
      <c r="AB458" t="s">
        <v>87</v>
      </c>
      <c r="AC458">
        <v>3</v>
      </c>
      <c r="AD458" t="s">
        <v>19</v>
      </c>
      <c r="AE458" t="s">
        <v>95</v>
      </c>
      <c r="AF458" t="str">
        <f t="shared" si="15"/>
        <v>No</v>
      </c>
    </row>
    <row r="459" spans="1:32" x14ac:dyDescent="0.3">
      <c r="A459" t="s">
        <v>981</v>
      </c>
      <c r="B459" s="1">
        <v>45735</v>
      </c>
      <c r="C459" t="s">
        <v>537</v>
      </c>
      <c r="D459">
        <f t="shared" si="14"/>
        <v>8</v>
      </c>
      <c r="E459" t="s">
        <v>72</v>
      </c>
      <c r="F459" t="s">
        <v>3</v>
      </c>
      <c r="G459" t="s">
        <v>73</v>
      </c>
      <c r="H459" t="s">
        <v>61</v>
      </c>
      <c r="I459" t="s">
        <v>62</v>
      </c>
      <c r="J459" t="s">
        <v>7</v>
      </c>
      <c r="K459" t="s">
        <v>74</v>
      </c>
      <c r="L459" t="s">
        <v>316</v>
      </c>
      <c r="M459" t="s">
        <v>53</v>
      </c>
      <c r="N459" t="s">
        <v>30</v>
      </c>
      <c r="O459">
        <v>16</v>
      </c>
      <c r="P459" t="s">
        <v>12</v>
      </c>
      <c r="Q459" t="s">
        <v>147</v>
      </c>
      <c r="R459" t="s">
        <v>148</v>
      </c>
      <c r="S459" t="s">
        <v>136</v>
      </c>
      <c r="T459" t="s">
        <v>35</v>
      </c>
      <c r="U459">
        <v>3</v>
      </c>
      <c r="V459">
        <v>58</v>
      </c>
      <c r="W459">
        <v>174</v>
      </c>
      <c r="X459">
        <v>5</v>
      </c>
      <c r="Y459">
        <v>495.9</v>
      </c>
      <c r="Z459">
        <v>321.89999999999998</v>
      </c>
      <c r="AA459" t="s">
        <v>69</v>
      </c>
      <c r="AB459" t="s">
        <v>18</v>
      </c>
      <c r="AC459">
        <v>5</v>
      </c>
      <c r="AD459" t="s">
        <v>19</v>
      </c>
      <c r="AE459" t="s">
        <v>20</v>
      </c>
      <c r="AF459" t="str">
        <f t="shared" si="15"/>
        <v>Yes</v>
      </c>
    </row>
    <row r="460" spans="1:32" x14ac:dyDescent="0.3">
      <c r="A460" t="s">
        <v>982</v>
      </c>
      <c r="B460" s="1">
        <v>45714</v>
      </c>
      <c r="C460" t="s">
        <v>474</v>
      </c>
      <c r="D460">
        <f t="shared" si="14"/>
        <v>12</v>
      </c>
      <c r="E460" t="s">
        <v>145</v>
      </c>
      <c r="F460" t="s">
        <v>3</v>
      </c>
      <c r="G460" t="s">
        <v>73</v>
      </c>
      <c r="H460" t="s">
        <v>61</v>
      </c>
      <c r="I460" t="s">
        <v>62</v>
      </c>
      <c r="J460" t="s">
        <v>7</v>
      </c>
      <c r="K460" t="s">
        <v>41</v>
      </c>
      <c r="L460" t="s">
        <v>983</v>
      </c>
      <c r="M460" t="s">
        <v>140</v>
      </c>
      <c r="N460" t="s">
        <v>30</v>
      </c>
      <c r="O460">
        <v>39</v>
      </c>
      <c r="P460" t="s">
        <v>54</v>
      </c>
      <c r="Q460" t="s">
        <v>109</v>
      </c>
      <c r="R460" t="s">
        <v>110</v>
      </c>
      <c r="S460" t="s">
        <v>111</v>
      </c>
      <c r="T460" t="s">
        <v>16</v>
      </c>
      <c r="U460">
        <v>1</v>
      </c>
      <c r="V460">
        <v>83</v>
      </c>
      <c r="W460">
        <v>182.6</v>
      </c>
      <c r="X460">
        <v>15</v>
      </c>
      <c r="Y460">
        <v>155.21</v>
      </c>
      <c r="Z460">
        <v>72.209999999999994</v>
      </c>
      <c r="AA460" t="s">
        <v>17</v>
      </c>
      <c r="AB460" t="s">
        <v>129</v>
      </c>
      <c r="AC460">
        <v>3</v>
      </c>
      <c r="AD460" t="s">
        <v>105</v>
      </c>
      <c r="AE460" t="s">
        <v>20</v>
      </c>
      <c r="AF460" t="str">
        <f t="shared" si="15"/>
        <v>Yes</v>
      </c>
    </row>
    <row r="461" spans="1:32" x14ac:dyDescent="0.3">
      <c r="A461" t="s">
        <v>984</v>
      </c>
      <c r="B461" s="1">
        <v>45719</v>
      </c>
      <c r="C461" t="s">
        <v>80</v>
      </c>
      <c r="D461">
        <f t="shared" si="14"/>
        <v>10</v>
      </c>
      <c r="E461" t="s">
        <v>72</v>
      </c>
      <c r="F461" t="s">
        <v>3</v>
      </c>
      <c r="G461" t="s">
        <v>23</v>
      </c>
      <c r="H461" t="s">
        <v>24</v>
      </c>
      <c r="I461" t="s">
        <v>25</v>
      </c>
      <c r="J461" t="s">
        <v>26</v>
      </c>
      <c r="K461" t="s">
        <v>352</v>
      </c>
      <c r="L461" t="s">
        <v>530</v>
      </c>
      <c r="M461" t="s">
        <v>261</v>
      </c>
      <c r="N461" t="s">
        <v>30</v>
      </c>
      <c r="O461">
        <v>26</v>
      </c>
      <c r="P461" t="s">
        <v>12</v>
      </c>
      <c r="Q461" t="s">
        <v>176</v>
      </c>
      <c r="R461" t="s">
        <v>177</v>
      </c>
      <c r="S461" t="s">
        <v>178</v>
      </c>
      <c r="T461" t="s">
        <v>16</v>
      </c>
      <c r="U461">
        <v>1</v>
      </c>
      <c r="V461">
        <v>56</v>
      </c>
      <c r="W461">
        <v>156.80000000000001</v>
      </c>
      <c r="X461">
        <v>15</v>
      </c>
      <c r="Y461">
        <v>133.28</v>
      </c>
      <c r="Z461">
        <v>77.28</v>
      </c>
      <c r="AA461" t="s">
        <v>36</v>
      </c>
      <c r="AB461" t="s">
        <v>129</v>
      </c>
      <c r="AC461">
        <v>3</v>
      </c>
      <c r="AD461" t="s">
        <v>19</v>
      </c>
      <c r="AE461" t="s">
        <v>20</v>
      </c>
      <c r="AF461" t="str">
        <f t="shared" si="15"/>
        <v>Yes</v>
      </c>
    </row>
    <row r="462" spans="1:32" x14ac:dyDescent="0.3">
      <c r="A462" t="s">
        <v>985</v>
      </c>
      <c r="B462" s="1">
        <v>45708</v>
      </c>
      <c r="C462" t="s">
        <v>568</v>
      </c>
      <c r="D462">
        <f t="shared" si="14"/>
        <v>11</v>
      </c>
      <c r="E462" t="s">
        <v>145</v>
      </c>
      <c r="F462" t="s">
        <v>3</v>
      </c>
      <c r="G462" t="s">
        <v>98</v>
      </c>
      <c r="H462" t="s">
        <v>49</v>
      </c>
      <c r="I462" t="s">
        <v>50</v>
      </c>
      <c r="J462" t="s">
        <v>7</v>
      </c>
      <c r="K462" t="s">
        <v>245</v>
      </c>
      <c r="L462" t="s">
        <v>338</v>
      </c>
      <c r="M462" t="s">
        <v>10</v>
      </c>
      <c r="N462" t="s">
        <v>30</v>
      </c>
      <c r="O462">
        <v>33</v>
      </c>
      <c r="P462" t="s">
        <v>31</v>
      </c>
      <c r="Q462" t="s">
        <v>85</v>
      </c>
      <c r="R462" t="s">
        <v>86</v>
      </c>
      <c r="S462" t="s">
        <v>34</v>
      </c>
      <c r="T462" t="s">
        <v>16</v>
      </c>
      <c r="U462">
        <v>4</v>
      </c>
      <c r="V462">
        <v>27</v>
      </c>
      <c r="W462">
        <v>81</v>
      </c>
      <c r="X462">
        <v>15</v>
      </c>
      <c r="Y462">
        <v>275.39999999999998</v>
      </c>
      <c r="Z462">
        <v>167.4</v>
      </c>
      <c r="AA462" t="s">
        <v>179</v>
      </c>
      <c r="AB462" t="s">
        <v>37</v>
      </c>
      <c r="AC462">
        <v>5</v>
      </c>
      <c r="AD462" t="s">
        <v>105</v>
      </c>
      <c r="AE462" t="s">
        <v>95</v>
      </c>
      <c r="AF462" t="str">
        <f t="shared" si="15"/>
        <v>No</v>
      </c>
    </row>
    <row r="463" spans="1:32" x14ac:dyDescent="0.3">
      <c r="A463" t="s">
        <v>986</v>
      </c>
      <c r="B463" s="1">
        <v>45719</v>
      </c>
      <c r="C463" t="s">
        <v>189</v>
      </c>
      <c r="D463">
        <f t="shared" si="14"/>
        <v>9</v>
      </c>
      <c r="E463" t="s">
        <v>72</v>
      </c>
      <c r="F463" t="s">
        <v>3</v>
      </c>
      <c r="G463" t="s">
        <v>23</v>
      </c>
      <c r="H463" t="s">
        <v>5</v>
      </c>
      <c r="I463" t="s">
        <v>6</v>
      </c>
      <c r="J463" t="s">
        <v>7</v>
      </c>
      <c r="K463" t="s">
        <v>146</v>
      </c>
      <c r="L463" t="s">
        <v>28</v>
      </c>
      <c r="M463" t="s">
        <v>184</v>
      </c>
      <c r="N463" t="s">
        <v>11</v>
      </c>
      <c r="O463">
        <v>24</v>
      </c>
      <c r="P463" t="s">
        <v>54</v>
      </c>
      <c r="Q463" t="s">
        <v>300</v>
      </c>
      <c r="R463" t="s">
        <v>301</v>
      </c>
      <c r="S463" t="s">
        <v>187</v>
      </c>
      <c r="T463" t="s">
        <v>35</v>
      </c>
      <c r="U463">
        <v>4</v>
      </c>
      <c r="V463">
        <v>86</v>
      </c>
      <c r="W463">
        <v>258</v>
      </c>
      <c r="X463">
        <v>5</v>
      </c>
      <c r="Y463">
        <v>980.4</v>
      </c>
      <c r="Z463">
        <v>636.4</v>
      </c>
      <c r="AA463" t="s">
        <v>36</v>
      </c>
      <c r="AB463" t="s">
        <v>87</v>
      </c>
      <c r="AC463">
        <v>4</v>
      </c>
      <c r="AD463" t="s">
        <v>105</v>
      </c>
      <c r="AE463" t="s">
        <v>20</v>
      </c>
      <c r="AF463" t="str">
        <f t="shared" si="15"/>
        <v>Yes</v>
      </c>
    </row>
    <row r="464" spans="1:32" x14ac:dyDescent="0.3">
      <c r="A464" t="s">
        <v>987</v>
      </c>
      <c r="B464" s="1">
        <v>45701</v>
      </c>
      <c r="C464" t="s">
        <v>39</v>
      </c>
      <c r="D464">
        <f t="shared" si="14"/>
        <v>18</v>
      </c>
      <c r="E464" t="s">
        <v>145</v>
      </c>
      <c r="F464" t="s">
        <v>3</v>
      </c>
      <c r="G464" t="s">
        <v>98</v>
      </c>
      <c r="H464" t="s">
        <v>61</v>
      </c>
      <c r="I464" t="s">
        <v>62</v>
      </c>
      <c r="J464" t="s">
        <v>7</v>
      </c>
      <c r="K464" t="s">
        <v>311</v>
      </c>
      <c r="L464" t="s">
        <v>963</v>
      </c>
      <c r="M464" t="s">
        <v>169</v>
      </c>
      <c r="N464" t="s">
        <v>11</v>
      </c>
      <c r="O464">
        <v>65</v>
      </c>
      <c r="P464" t="s">
        <v>76</v>
      </c>
      <c r="Q464" t="s">
        <v>193</v>
      </c>
      <c r="R464" t="s">
        <v>194</v>
      </c>
      <c r="S464" t="s">
        <v>172</v>
      </c>
      <c r="T464" t="s">
        <v>35</v>
      </c>
      <c r="U464">
        <v>4</v>
      </c>
      <c r="V464">
        <v>35</v>
      </c>
      <c r="W464">
        <v>87.5</v>
      </c>
      <c r="X464">
        <v>15</v>
      </c>
      <c r="Y464">
        <v>297.5</v>
      </c>
      <c r="Z464">
        <v>157.5</v>
      </c>
      <c r="AA464" t="s">
        <v>17</v>
      </c>
      <c r="AB464" t="s">
        <v>87</v>
      </c>
      <c r="AC464">
        <v>5</v>
      </c>
      <c r="AD464" t="s">
        <v>105</v>
      </c>
      <c r="AE464" t="s">
        <v>20</v>
      </c>
      <c r="AF464" t="str">
        <f t="shared" si="15"/>
        <v>Yes</v>
      </c>
    </row>
    <row r="465" spans="1:32" x14ac:dyDescent="0.3">
      <c r="A465" t="s">
        <v>988</v>
      </c>
      <c r="B465" s="1">
        <v>45661</v>
      </c>
      <c r="C465" t="s">
        <v>158</v>
      </c>
      <c r="D465">
        <f t="shared" si="14"/>
        <v>8</v>
      </c>
      <c r="E465" t="s">
        <v>2</v>
      </c>
      <c r="F465" t="s">
        <v>3</v>
      </c>
      <c r="G465" t="s">
        <v>132</v>
      </c>
      <c r="H465" t="s">
        <v>61</v>
      </c>
      <c r="I465" t="s">
        <v>62</v>
      </c>
      <c r="J465" t="s">
        <v>7</v>
      </c>
      <c r="K465" t="s">
        <v>229</v>
      </c>
      <c r="L465" t="s">
        <v>989</v>
      </c>
      <c r="M465" t="s">
        <v>184</v>
      </c>
      <c r="N465" t="s">
        <v>11</v>
      </c>
      <c r="O465">
        <v>63</v>
      </c>
      <c r="P465" t="s">
        <v>54</v>
      </c>
      <c r="Q465" t="s">
        <v>436</v>
      </c>
      <c r="R465" t="s">
        <v>437</v>
      </c>
      <c r="S465" t="s">
        <v>178</v>
      </c>
      <c r="T465" t="s">
        <v>35</v>
      </c>
      <c r="U465">
        <v>3</v>
      </c>
      <c r="V465">
        <v>66</v>
      </c>
      <c r="W465">
        <v>165</v>
      </c>
      <c r="X465">
        <v>15</v>
      </c>
      <c r="Y465">
        <v>420.75</v>
      </c>
      <c r="Z465">
        <v>222.75</v>
      </c>
      <c r="AA465" t="s">
        <v>17</v>
      </c>
      <c r="AB465" t="s">
        <v>87</v>
      </c>
      <c r="AC465">
        <v>4</v>
      </c>
      <c r="AD465" t="s">
        <v>19</v>
      </c>
      <c r="AE465" t="s">
        <v>20</v>
      </c>
      <c r="AF465" t="str">
        <f t="shared" si="15"/>
        <v>Yes</v>
      </c>
    </row>
    <row r="466" spans="1:32" x14ac:dyDescent="0.3">
      <c r="A466" t="s">
        <v>990</v>
      </c>
      <c r="B466" s="1">
        <v>45725</v>
      </c>
      <c r="C466" t="s">
        <v>214</v>
      </c>
      <c r="D466">
        <f t="shared" si="14"/>
        <v>7</v>
      </c>
      <c r="E466" t="s">
        <v>72</v>
      </c>
      <c r="F466" t="s">
        <v>3</v>
      </c>
      <c r="G466" t="s">
        <v>4</v>
      </c>
      <c r="H466" t="s">
        <v>150</v>
      </c>
      <c r="I466" t="s">
        <v>151</v>
      </c>
      <c r="J466" t="s">
        <v>152</v>
      </c>
      <c r="K466" t="s">
        <v>229</v>
      </c>
      <c r="L466" t="s">
        <v>991</v>
      </c>
      <c r="M466" t="s">
        <v>140</v>
      </c>
      <c r="N466" t="s">
        <v>30</v>
      </c>
      <c r="O466">
        <v>44</v>
      </c>
      <c r="P466" t="s">
        <v>54</v>
      </c>
      <c r="Q466" t="s">
        <v>295</v>
      </c>
      <c r="R466" t="s">
        <v>296</v>
      </c>
      <c r="S466" t="s">
        <v>57</v>
      </c>
      <c r="T466" t="s">
        <v>35</v>
      </c>
      <c r="U466">
        <v>4</v>
      </c>
      <c r="V466">
        <v>62</v>
      </c>
      <c r="W466">
        <v>186</v>
      </c>
      <c r="X466">
        <v>10</v>
      </c>
      <c r="Y466">
        <v>669.6</v>
      </c>
      <c r="Z466">
        <v>421.6</v>
      </c>
      <c r="AA466" t="s">
        <v>17</v>
      </c>
      <c r="AB466" t="s">
        <v>37</v>
      </c>
      <c r="AC466">
        <v>5</v>
      </c>
      <c r="AD466" t="s">
        <v>19</v>
      </c>
      <c r="AE466" t="s">
        <v>95</v>
      </c>
      <c r="AF466" t="str">
        <f t="shared" si="15"/>
        <v>No</v>
      </c>
    </row>
    <row r="467" spans="1:32" x14ac:dyDescent="0.3">
      <c r="A467" t="s">
        <v>992</v>
      </c>
      <c r="B467" s="1">
        <v>45767</v>
      </c>
      <c r="C467" t="s">
        <v>407</v>
      </c>
      <c r="D467">
        <f t="shared" si="14"/>
        <v>8</v>
      </c>
      <c r="E467" t="s">
        <v>60</v>
      </c>
      <c r="F467" t="s">
        <v>48</v>
      </c>
      <c r="G467" t="s">
        <v>4</v>
      </c>
      <c r="H467" t="s">
        <v>5</v>
      </c>
      <c r="I467" t="s">
        <v>6</v>
      </c>
      <c r="J467" t="s">
        <v>7</v>
      </c>
      <c r="K467" t="s">
        <v>306</v>
      </c>
      <c r="L467" t="s">
        <v>175</v>
      </c>
      <c r="M467" t="s">
        <v>29</v>
      </c>
      <c r="N467" t="s">
        <v>11</v>
      </c>
      <c r="O467">
        <v>19</v>
      </c>
      <c r="P467" t="s">
        <v>31</v>
      </c>
      <c r="Q467" t="s">
        <v>262</v>
      </c>
      <c r="R467" t="s">
        <v>263</v>
      </c>
      <c r="S467" t="s">
        <v>218</v>
      </c>
      <c r="T467" t="s">
        <v>35</v>
      </c>
      <c r="U467">
        <v>2</v>
      </c>
      <c r="V467">
        <v>40</v>
      </c>
      <c r="W467">
        <v>112</v>
      </c>
      <c r="X467">
        <v>0</v>
      </c>
      <c r="Y467">
        <v>224</v>
      </c>
      <c r="Z467">
        <v>144</v>
      </c>
      <c r="AA467" t="s">
        <v>69</v>
      </c>
      <c r="AB467" t="s">
        <v>119</v>
      </c>
      <c r="AD467" t="s">
        <v>105</v>
      </c>
      <c r="AE467" t="s">
        <v>20</v>
      </c>
      <c r="AF467" t="str">
        <f t="shared" si="15"/>
        <v>Yes</v>
      </c>
    </row>
    <row r="468" spans="1:32" x14ac:dyDescent="0.3">
      <c r="A468" t="s">
        <v>993</v>
      </c>
      <c r="B468" s="1">
        <v>45776</v>
      </c>
      <c r="C468" t="s">
        <v>191</v>
      </c>
      <c r="D468">
        <f t="shared" si="14"/>
        <v>19</v>
      </c>
      <c r="E468" t="s">
        <v>60</v>
      </c>
      <c r="F468" t="s">
        <v>48</v>
      </c>
      <c r="G468" t="s">
        <v>181</v>
      </c>
      <c r="H468" t="s">
        <v>24</v>
      </c>
      <c r="I468" t="s">
        <v>25</v>
      </c>
      <c r="J468" t="s">
        <v>26</v>
      </c>
      <c r="K468" t="s">
        <v>146</v>
      </c>
      <c r="L468" t="s">
        <v>923</v>
      </c>
      <c r="M468" t="s">
        <v>140</v>
      </c>
      <c r="N468" t="s">
        <v>11</v>
      </c>
      <c r="O468">
        <v>25</v>
      </c>
      <c r="P468" t="s">
        <v>76</v>
      </c>
      <c r="Q468" t="s">
        <v>185</v>
      </c>
      <c r="R468" t="s">
        <v>186</v>
      </c>
      <c r="S468" t="s">
        <v>187</v>
      </c>
      <c r="T468" t="s">
        <v>35</v>
      </c>
      <c r="U468">
        <v>1</v>
      </c>
      <c r="V468">
        <v>57</v>
      </c>
      <c r="W468">
        <v>159.6</v>
      </c>
      <c r="X468">
        <v>5</v>
      </c>
      <c r="Y468">
        <v>151.62</v>
      </c>
      <c r="Z468">
        <v>94.62</v>
      </c>
      <c r="AA468" t="s">
        <v>17</v>
      </c>
      <c r="AB468" t="s">
        <v>44</v>
      </c>
      <c r="AC468">
        <v>4</v>
      </c>
      <c r="AD468" t="s">
        <v>19</v>
      </c>
      <c r="AE468" t="s">
        <v>20</v>
      </c>
      <c r="AF468" t="str">
        <f t="shared" si="15"/>
        <v>Yes</v>
      </c>
    </row>
    <row r="469" spans="1:32" x14ac:dyDescent="0.3">
      <c r="A469" t="s">
        <v>994</v>
      </c>
      <c r="B469" s="1">
        <v>45745</v>
      </c>
      <c r="C469" t="s">
        <v>158</v>
      </c>
      <c r="D469">
        <f t="shared" si="14"/>
        <v>8</v>
      </c>
      <c r="E469" t="s">
        <v>72</v>
      </c>
      <c r="F469" t="s">
        <v>3</v>
      </c>
      <c r="G469" t="s">
        <v>132</v>
      </c>
      <c r="H469" t="s">
        <v>61</v>
      </c>
      <c r="I469" t="s">
        <v>62</v>
      </c>
      <c r="J469" t="s">
        <v>7</v>
      </c>
      <c r="K469" t="s">
        <v>51</v>
      </c>
      <c r="L469" t="s">
        <v>661</v>
      </c>
      <c r="M469" t="s">
        <v>261</v>
      </c>
      <c r="N469" t="s">
        <v>11</v>
      </c>
      <c r="O469">
        <v>39</v>
      </c>
      <c r="P469" t="s">
        <v>31</v>
      </c>
      <c r="Q469" t="s">
        <v>92</v>
      </c>
      <c r="R469" t="s">
        <v>93</v>
      </c>
      <c r="S469" t="s">
        <v>94</v>
      </c>
      <c r="T469" t="s">
        <v>16</v>
      </c>
      <c r="U469">
        <v>1</v>
      </c>
      <c r="V469">
        <v>85</v>
      </c>
      <c r="W469">
        <v>255</v>
      </c>
      <c r="X469">
        <v>15</v>
      </c>
      <c r="Y469">
        <v>216.75</v>
      </c>
      <c r="Z469">
        <v>131.75</v>
      </c>
      <c r="AA469" t="s">
        <v>69</v>
      </c>
      <c r="AB469" t="s">
        <v>129</v>
      </c>
      <c r="AC469">
        <v>3</v>
      </c>
      <c r="AD469" t="s">
        <v>19</v>
      </c>
      <c r="AE469" t="s">
        <v>95</v>
      </c>
      <c r="AF469" t="str">
        <f t="shared" si="15"/>
        <v>No</v>
      </c>
    </row>
    <row r="470" spans="1:32" x14ac:dyDescent="0.3">
      <c r="A470" t="s">
        <v>995</v>
      </c>
      <c r="B470" s="1">
        <v>45694</v>
      </c>
      <c r="C470" t="s">
        <v>345</v>
      </c>
      <c r="D470">
        <f t="shared" si="14"/>
        <v>18</v>
      </c>
      <c r="E470" t="s">
        <v>145</v>
      </c>
      <c r="F470" t="s">
        <v>3</v>
      </c>
      <c r="G470" t="s">
        <v>98</v>
      </c>
      <c r="H470" t="s">
        <v>150</v>
      </c>
      <c r="I470" t="s">
        <v>151</v>
      </c>
      <c r="J470" t="s">
        <v>152</v>
      </c>
      <c r="K470" t="s">
        <v>8</v>
      </c>
      <c r="L470" t="s">
        <v>686</v>
      </c>
      <c r="M470" t="s">
        <v>53</v>
      </c>
      <c r="N470" t="s">
        <v>11</v>
      </c>
      <c r="O470">
        <v>40</v>
      </c>
      <c r="P470" t="s">
        <v>31</v>
      </c>
      <c r="Q470" t="s">
        <v>141</v>
      </c>
      <c r="R470" t="s">
        <v>142</v>
      </c>
      <c r="S470" t="s">
        <v>111</v>
      </c>
      <c r="T470" t="s">
        <v>16</v>
      </c>
      <c r="U470">
        <v>3</v>
      </c>
      <c r="V470">
        <v>35</v>
      </c>
      <c r="W470">
        <v>77</v>
      </c>
      <c r="X470">
        <v>10</v>
      </c>
      <c r="Y470">
        <v>207.9</v>
      </c>
      <c r="Z470">
        <v>102.9</v>
      </c>
      <c r="AA470" t="s">
        <v>36</v>
      </c>
      <c r="AB470" t="s">
        <v>37</v>
      </c>
      <c r="AC470">
        <v>3</v>
      </c>
      <c r="AD470" t="s">
        <v>105</v>
      </c>
      <c r="AE470" t="s">
        <v>20</v>
      </c>
      <c r="AF470" t="str">
        <f t="shared" si="15"/>
        <v>Yes</v>
      </c>
    </row>
    <row r="471" spans="1:32" x14ac:dyDescent="0.3">
      <c r="A471" t="s">
        <v>996</v>
      </c>
      <c r="B471" s="1">
        <v>45717</v>
      </c>
      <c r="C471" t="s">
        <v>191</v>
      </c>
      <c r="D471">
        <f t="shared" si="14"/>
        <v>19</v>
      </c>
      <c r="E471" t="s">
        <v>72</v>
      </c>
      <c r="F471" t="s">
        <v>3</v>
      </c>
      <c r="G471" t="s">
        <v>132</v>
      </c>
      <c r="H471" t="s">
        <v>24</v>
      </c>
      <c r="I471" t="s">
        <v>25</v>
      </c>
      <c r="J471" t="s">
        <v>26</v>
      </c>
      <c r="K471" t="s">
        <v>318</v>
      </c>
      <c r="L471" t="s">
        <v>394</v>
      </c>
      <c r="M471" t="s">
        <v>162</v>
      </c>
      <c r="N471" t="s">
        <v>11</v>
      </c>
      <c r="O471">
        <v>56</v>
      </c>
      <c r="P471" t="s">
        <v>12</v>
      </c>
      <c r="Q471" t="s">
        <v>272</v>
      </c>
      <c r="R471" t="s">
        <v>273</v>
      </c>
      <c r="S471" t="s">
        <v>57</v>
      </c>
      <c r="T471" t="s">
        <v>16</v>
      </c>
      <c r="U471">
        <v>2</v>
      </c>
      <c r="V471">
        <v>55</v>
      </c>
      <c r="W471">
        <v>154</v>
      </c>
      <c r="X471">
        <v>15</v>
      </c>
      <c r="Y471">
        <v>261.8</v>
      </c>
      <c r="Z471">
        <v>151.80000000000001</v>
      </c>
      <c r="AA471" t="s">
        <v>179</v>
      </c>
      <c r="AB471" t="s">
        <v>18</v>
      </c>
      <c r="AC471">
        <v>3</v>
      </c>
      <c r="AD471" t="s">
        <v>19</v>
      </c>
      <c r="AE471" t="s">
        <v>20</v>
      </c>
      <c r="AF471" t="str">
        <f t="shared" si="15"/>
        <v>Yes</v>
      </c>
    </row>
    <row r="472" spans="1:32" x14ac:dyDescent="0.3">
      <c r="A472" t="s">
        <v>997</v>
      </c>
      <c r="B472" s="1">
        <v>45704</v>
      </c>
      <c r="C472" t="s">
        <v>829</v>
      </c>
      <c r="D472">
        <f t="shared" si="14"/>
        <v>14</v>
      </c>
      <c r="E472" t="s">
        <v>145</v>
      </c>
      <c r="F472" t="s">
        <v>3</v>
      </c>
      <c r="G472" t="s">
        <v>4</v>
      </c>
      <c r="H472" t="s">
        <v>49</v>
      </c>
      <c r="I472" t="s">
        <v>50</v>
      </c>
      <c r="J472" t="s">
        <v>7</v>
      </c>
      <c r="K472" t="s">
        <v>311</v>
      </c>
      <c r="L472" t="s">
        <v>655</v>
      </c>
      <c r="M472" t="s">
        <v>53</v>
      </c>
      <c r="N472" t="s">
        <v>30</v>
      </c>
      <c r="O472">
        <v>62</v>
      </c>
      <c r="P472" t="s">
        <v>91</v>
      </c>
      <c r="Q472" t="s">
        <v>116</v>
      </c>
      <c r="R472" t="s">
        <v>117</v>
      </c>
      <c r="S472" t="s">
        <v>118</v>
      </c>
      <c r="T472" t="s">
        <v>35</v>
      </c>
      <c r="U472">
        <v>1</v>
      </c>
      <c r="V472">
        <v>99</v>
      </c>
      <c r="W472">
        <v>277.2</v>
      </c>
      <c r="X472">
        <v>10</v>
      </c>
      <c r="Y472">
        <v>249.48</v>
      </c>
      <c r="Z472">
        <v>150.47999999999999</v>
      </c>
      <c r="AA472" t="s">
        <v>36</v>
      </c>
      <c r="AB472" t="s">
        <v>87</v>
      </c>
      <c r="AC472">
        <v>3</v>
      </c>
      <c r="AD472" t="s">
        <v>19</v>
      </c>
      <c r="AE472" t="s">
        <v>20</v>
      </c>
      <c r="AF472" t="str">
        <f t="shared" si="15"/>
        <v>Yes</v>
      </c>
    </row>
    <row r="473" spans="1:32" x14ac:dyDescent="0.3">
      <c r="A473" t="s">
        <v>998</v>
      </c>
      <c r="B473" s="1">
        <v>45789</v>
      </c>
      <c r="C473" t="s">
        <v>121</v>
      </c>
      <c r="D473">
        <f t="shared" si="14"/>
        <v>9</v>
      </c>
      <c r="E473" t="s">
        <v>47</v>
      </c>
      <c r="F473" t="s">
        <v>48</v>
      </c>
      <c r="G473" t="s">
        <v>23</v>
      </c>
      <c r="H473" t="s">
        <v>164</v>
      </c>
      <c r="I473" t="s">
        <v>165</v>
      </c>
      <c r="J473" t="s">
        <v>166</v>
      </c>
      <c r="K473" t="s">
        <v>74</v>
      </c>
      <c r="L473" t="s">
        <v>999</v>
      </c>
      <c r="M473" t="s">
        <v>53</v>
      </c>
      <c r="N473" t="s">
        <v>30</v>
      </c>
      <c r="O473">
        <v>65</v>
      </c>
      <c r="P473" t="s">
        <v>31</v>
      </c>
      <c r="Q473" t="s">
        <v>103</v>
      </c>
      <c r="R473" t="s">
        <v>104</v>
      </c>
      <c r="S473" t="s">
        <v>94</v>
      </c>
      <c r="T473" t="s">
        <v>35</v>
      </c>
      <c r="U473">
        <v>3</v>
      </c>
      <c r="V473">
        <v>57</v>
      </c>
      <c r="W473">
        <v>159.6</v>
      </c>
      <c r="X473">
        <v>5</v>
      </c>
      <c r="Y473">
        <v>454.86</v>
      </c>
      <c r="Z473">
        <v>283.86</v>
      </c>
      <c r="AA473" t="s">
        <v>17</v>
      </c>
      <c r="AB473" t="s">
        <v>119</v>
      </c>
      <c r="AD473" t="s">
        <v>19</v>
      </c>
      <c r="AE473" t="s">
        <v>20</v>
      </c>
      <c r="AF473" t="str">
        <f t="shared" si="15"/>
        <v>Yes</v>
      </c>
    </row>
    <row r="474" spans="1:32" x14ac:dyDescent="0.3">
      <c r="A474" t="s">
        <v>1000</v>
      </c>
      <c r="B474" s="1">
        <v>45771</v>
      </c>
      <c r="C474" t="s">
        <v>233</v>
      </c>
      <c r="D474">
        <f t="shared" si="14"/>
        <v>18</v>
      </c>
      <c r="E474" t="s">
        <v>60</v>
      </c>
      <c r="F474" t="s">
        <v>48</v>
      </c>
      <c r="G474" t="s">
        <v>98</v>
      </c>
      <c r="H474" t="s">
        <v>49</v>
      </c>
      <c r="I474" t="s">
        <v>50</v>
      </c>
      <c r="J474" t="s">
        <v>7</v>
      </c>
      <c r="K474" t="s">
        <v>74</v>
      </c>
      <c r="L474" t="s">
        <v>369</v>
      </c>
      <c r="M474" t="s">
        <v>10</v>
      </c>
      <c r="N474" t="s">
        <v>30</v>
      </c>
      <c r="O474">
        <v>21</v>
      </c>
      <c r="P474" t="s">
        <v>12</v>
      </c>
      <c r="Q474" t="s">
        <v>235</v>
      </c>
      <c r="R474" t="s">
        <v>236</v>
      </c>
      <c r="S474" t="s">
        <v>237</v>
      </c>
      <c r="T474" t="s">
        <v>35</v>
      </c>
      <c r="U474">
        <v>3</v>
      </c>
      <c r="V474">
        <v>22</v>
      </c>
      <c r="W474">
        <v>61.6</v>
      </c>
      <c r="X474">
        <v>10</v>
      </c>
      <c r="Y474">
        <v>166.32</v>
      </c>
      <c r="Z474">
        <v>100.32</v>
      </c>
      <c r="AA474" t="s">
        <v>17</v>
      </c>
      <c r="AB474" t="s">
        <v>119</v>
      </c>
      <c r="AC474">
        <v>4</v>
      </c>
      <c r="AD474" t="s">
        <v>19</v>
      </c>
      <c r="AE474" t="s">
        <v>20</v>
      </c>
      <c r="AF474" t="str">
        <f t="shared" si="15"/>
        <v>Yes</v>
      </c>
    </row>
    <row r="475" spans="1:32" x14ac:dyDescent="0.3">
      <c r="A475" t="s">
        <v>1001</v>
      </c>
      <c r="B475" s="1">
        <v>45740</v>
      </c>
      <c r="C475" t="s">
        <v>537</v>
      </c>
      <c r="D475">
        <f t="shared" si="14"/>
        <v>8</v>
      </c>
      <c r="E475" t="s">
        <v>72</v>
      </c>
      <c r="F475" t="s">
        <v>3</v>
      </c>
      <c r="G475" t="s">
        <v>23</v>
      </c>
      <c r="H475" t="s">
        <v>5</v>
      </c>
      <c r="I475" t="s">
        <v>6</v>
      </c>
      <c r="J475" t="s">
        <v>7</v>
      </c>
      <c r="K475" t="s">
        <v>196</v>
      </c>
      <c r="L475" t="s">
        <v>284</v>
      </c>
      <c r="M475" t="s">
        <v>261</v>
      </c>
      <c r="N475" t="s">
        <v>11</v>
      </c>
      <c r="O475">
        <v>61</v>
      </c>
      <c r="P475" t="s">
        <v>91</v>
      </c>
      <c r="Q475" t="s">
        <v>370</v>
      </c>
      <c r="R475" t="s">
        <v>371</v>
      </c>
      <c r="S475" t="s">
        <v>111</v>
      </c>
      <c r="T475" t="s">
        <v>35</v>
      </c>
      <c r="U475">
        <v>4</v>
      </c>
      <c r="V475">
        <v>99</v>
      </c>
      <c r="W475">
        <v>247.5</v>
      </c>
      <c r="X475">
        <v>5</v>
      </c>
      <c r="Y475">
        <v>940.5</v>
      </c>
      <c r="Z475">
        <v>544.5</v>
      </c>
      <c r="AA475" t="s">
        <v>36</v>
      </c>
      <c r="AB475" t="s">
        <v>18</v>
      </c>
      <c r="AC475">
        <v>3</v>
      </c>
      <c r="AD475" t="s">
        <v>19</v>
      </c>
      <c r="AE475" t="s">
        <v>20</v>
      </c>
      <c r="AF475" t="str">
        <f t="shared" si="15"/>
        <v>Yes</v>
      </c>
    </row>
    <row r="476" spans="1:32" x14ac:dyDescent="0.3">
      <c r="A476" t="s">
        <v>1002</v>
      </c>
      <c r="B476" s="1">
        <v>45742</v>
      </c>
      <c r="C476" t="s">
        <v>340</v>
      </c>
      <c r="D476">
        <f t="shared" si="14"/>
        <v>17</v>
      </c>
      <c r="E476" t="s">
        <v>72</v>
      </c>
      <c r="F476" t="s">
        <v>3</v>
      </c>
      <c r="G476" t="s">
        <v>73</v>
      </c>
      <c r="H476" t="s">
        <v>122</v>
      </c>
      <c r="I476" t="s">
        <v>123</v>
      </c>
      <c r="J476" t="s">
        <v>7</v>
      </c>
      <c r="K476" t="s">
        <v>8</v>
      </c>
      <c r="L476" t="s">
        <v>928</v>
      </c>
      <c r="M476" t="s">
        <v>261</v>
      </c>
      <c r="N476" t="s">
        <v>30</v>
      </c>
      <c r="O476">
        <v>64</v>
      </c>
      <c r="P476" t="s">
        <v>31</v>
      </c>
      <c r="Q476" t="s">
        <v>147</v>
      </c>
      <c r="R476" t="s">
        <v>148</v>
      </c>
      <c r="S476" t="s">
        <v>136</v>
      </c>
      <c r="T476" t="s">
        <v>35</v>
      </c>
      <c r="U476">
        <v>4</v>
      </c>
      <c r="V476">
        <v>58</v>
      </c>
      <c r="W476">
        <v>174</v>
      </c>
      <c r="X476">
        <v>10</v>
      </c>
      <c r="Y476">
        <v>626.4</v>
      </c>
      <c r="Z476">
        <v>394.4</v>
      </c>
      <c r="AA476" t="s">
        <v>69</v>
      </c>
      <c r="AB476" t="s">
        <v>37</v>
      </c>
      <c r="AC476">
        <v>5</v>
      </c>
      <c r="AD476" t="s">
        <v>19</v>
      </c>
      <c r="AE476" t="s">
        <v>95</v>
      </c>
      <c r="AF476" t="str">
        <f t="shared" si="15"/>
        <v>No</v>
      </c>
    </row>
    <row r="477" spans="1:32" x14ac:dyDescent="0.3">
      <c r="A477" t="s">
        <v>1003</v>
      </c>
      <c r="B477" s="1">
        <v>45732</v>
      </c>
      <c r="C477" t="s">
        <v>207</v>
      </c>
      <c r="D477">
        <f t="shared" si="14"/>
        <v>20</v>
      </c>
      <c r="E477" t="s">
        <v>72</v>
      </c>
      <c r="F477" t="s">
        <v>3</v>
      </c>
      <c r="G477" t="s">
        <v>4</v>
      </c>
      <c r="H477" t="s">
        <v>49</v>
      </c>
      <c r="I477" t="s">
        <v>50</v>
      </c>
      <c r="J477" t="s">
        <v>7</v>
      </c>
      <c r="K477" t="s">
        <v>74</v>
      </c>
      <c r="L477" t="s">
        <v>1004</v>
      </c>
      <c r="M477" t="s">
        <v>65</v>
      </c>
      <c r="N477" t="s">
        <v>11</v>
      </c>
      <c r="O477">
        <v>57</v>
      </c>
      <c r="P477" t="s">
        <v>76</v>
      </c>
      <c r="Q477" t="s">
        <v>262</v>
      </c>
      <c r="R477" t="s">
        <v>263</v>
      </c>
      <c r="S477" t="s">
        <v>218</v>
      </c>
      <c r="T477" t="s">
        <v>35</v>
      </c>
      <c r="U477">
        <v>2</v>
      </c>
      <c r="V477">
        <v>40</v>
      </c>
      <c r="W477">
        <v>112</v>
      </c>
      <c r="X477">
        <v>15</v>
      </c>
      <c r="Y477">
        <v>190.4</v>
      </c>
      <c r="Z477">
        <v>110.4</v>
      </c>
      <c r="AA477" t="s">
        <v>36</v>
      </c>
      <c r="AB477" t="s">
        <v>37</v>
      </c>
      <c r="AC477">
        <v>4</v>
      </c>
      <c r="AD477" t="s">
        <v>19</v>
      </c>
      <c r="AE477" t="s">
        <v>20</v>
      </c>
      <c r="AF477" t="str">
        <f t="shared" si="15"/>
        <v>Yes</v>
      </c>
    </row>
    <row r="478" spans="1:32" x14ac:dyDescent="0.3">
      <c r="A478" t="s">
        <v>1005</v>
      </c>
      <c r="B478" s="1">
        <v>45691</v>
      </c>
      <c r="C478" t="s">
        <v>59</v>
      </c>
      <c r="D478">
        <f t="shared" si="14"/>
        <v>16</v>
      </c>
      <c r="E478" t="s">
        <v>145</v>
      </c>
      <c r="F478" t="s">
        <v>3</v>
      </c>
      <c r="G478" t="s">
        <v>23</v>
      </c>
      <c r="H478" t="s">
        <v>5</v>
      </c>
      <c r="I478" t="s">
        <v>6</v>
      </c>
      <c r="J478" t="s">
        <v>7</v>
      </c>
      <c r="K478" t="s">
        <v>114</v>
      </c>
      <c r="L478" t="s">
        <v>748</v>
      </c>
      <c r="M478" t="s">
        <v>140</v>
      </c>
      <c r="N478" t="s">
        <v>30</v>
      </c>
      <c r="O478">
        <v>35</v>
      </c>
      <c r="P478" t="s">
        <v>31</v>
      </c>
      <c r="Q478" t="s">
        <v>436</v>
      </c>
      <c r="R478" t="s">
        <v>437</v>
      </c>
      <c r="S478" t="s">
        <v>178</v>
      </c>
      <c r="T478" t="s">
        <v>35</v>
      </c>
      <c r="U478">
        <v>4</v>
      </c>
      <c r="V478">
        <v>66</v>
      </c>
      <c r="W478">
        <v>165</v>
      </c>
      <c r="X478">
        <v>0</v>
      </c>
      <c r="Y478">
        <v>660</v>
      </c>
      <c r="Z478">
        <v>396</v>
      </c>
      <c r="AA478" t="s">
        <v>69</v>
      </c>
      <c r="AB478" t="s">
        <v>37</v>
      </c>
      <c r="AC478">
        <v>3</v>
      </c>
      <c r="AD478" t="s">
        <v>19</v>
      </c>
      <c r="AE478" t="s">
        <v>20</v>
      </c>
      <c r="AF478" t="str">
        <f t="shared" si="15"/>
        <v>Yes</v>
      </c>
    </row>
    <row r="479" spans="1:32" x14ac:dyDescent="0.3">
      <c r="A479" t="s">
        <v>1006</v>
      </c>
      <c r="B479" s="1">
        <v>45746</v>
      </c>
      <c r="C479" t="s">
        <v>214</v>
      </c>
      <c r="D479">
        <f t="shared" si="14"/>
        <v>7</v>
      </c>
      <c r="E479" t="s">
        <v>72</v>
      </c>
      <c r="F479" t="s">
        <v>3</v>
      </c>
      <c r="G479" t="s">
        <v>4</v>
      </c>
      <c r="H479" t="s">
        <v>164</v>
      </c>
      <c r="I479" t="s">
        <v>165</v>
      </c>
      <c r="J479" t="s">
        <v>166</v>
      </c>
      <c r="K479" t="s">
        <v>311</v>
      </c>
      <c r="L479" t="s">
        <v>1007</v>
      </c>
      <c r="M479" t="s">
        <v>184</v>
      </c>
      <c r="N479" t="s">
        <v>11</v>
      </c>
      <c r="O479">
        <v>39</v>
      </c>
      <c r="P479" t="s">
        <v>31</v>
      </c>
      <c r="Q479" t="s">
        <v>230</v>
      </c>
      <c r="R479" t="s">
        <v>231</v>
      </c>
      <c r="S479" t="s">
        <v>128</v>
      </c>
      <c r="T479" t="s">
        <v>35</v>
      </c>
      <c r="U479">
        <v>4</v>
      </c>
      <c r="V479">
        <v>62</v>
      </c>
      <c r="W479">
        <v>186</v>
      </c>
      <c r="X479">
        <v>5</v>
      </c>
      <c r="Y479">
        <v>706.8</v>
      </c>
      <c r="Z479">
        <v>458.8</v>
      </c>
      <c r="AA479" t="s">
        <v>43</v>
      </c>
      <c r="AB479" t="s">
        <v>44</v>
      </c>
      <c r="AC479">
        <v>4</v>
      </c>
      <c r="AD479" t="s">
        <v>105</v>
      </c>
      <c r="AE479" t="s">
        <v>20</v>
      </c>
      <c r="AF479" t="str">
        <f t="shared" si="15"/>
        <v>Yes</v>
      </c>
    </row>
    <row r="480" spans="1:32" x14ac:dyDescent="0.3">
      <c r="A480" t="s">
        <v>1008</v>
      </c>
      <c r="B480" s="1">
        <v>45830</v>
      </c>
      <c r="C480" t="s">
        <v>158</v>
      </c>
      <c r="D480">
        <f t="shared" si="14"/>
        <v>8</v>
      </c>
      <c r="E480" t="s">
        <v>131</v>
      </c>
      <c r="F480" t="s">
        <v>48</v>
      </c>
      <c r="G480" t="s">
        <v>4</v>
      </c>
      <c r="H480" t="s">
        <v>99</v>
      </c>
      <c r="I480" t="s">
        <v>100</v>
      </c>
      <c r="J480" t="s">
        <v>101</v>
      </c>
      <c r="K480" t="s">
        <v>323</v>
      </c>
      <c r="L480" t="s">
        <v>729</v>
      </c>
      <c r="M480" t="s">
        <v>225</v>
      </c>
      <c r="N480" t="s">
        <v>30</v>
      </c>
      <c r="O480">
        <v>60</v>
      </c>
      <c r="P480" t="s">
        <v>76</v>
      </c>
      <c r="Q480" t="s">
        <v>308</v>
      </c>
      <c r="R480" t="s">
        <v>309</v>
      </c>
      <c r="S480" t="s">
        <v>187</v>
      </c>
      <c r="T480" t="s">
        <v>35</v>
      </c>
      <c r="U480">
        <v>4</v>
      </c>
      <c r="V480">
        <v>31</v>
      </c>
      <c r="W480">
        <v>77.5</v>
      </c>
      <c r="X480">
        <v>10</v>
      </c>
      <c r="Y480">
        <v>279</v>
      </c>
      <c r="Z480">
        <v>155</v>
      </c>
      <c r="AA480" t="s">
        <v>69</v>
      </c>
      <c r="AB480" t="s">
        <v>18</v>
      </c>
      <c r="AC480">
        <v>4</v>
      </c>
      <c r="AD480" t="s">
        <v>19</v>
      </c>
      <c r="AE480" t="s">
        <v>20</v>
      </c>
      <c r="AF480" t="str">
        <f t="shared" si="15"/>
        <v>Yes</v>
      </c>
    </row>
    <row r="481" spans="1:32" x14ac:dyDescent="0.3">
      <c r="A481" t="s">
        <v>1009</v>
      </c>
      <c r="B481" s="1">
        <v>45682</v>
      </c>
      <c r="C481" t="s">
        <v>22</v>
      </c>
      <c r="D481">
        <f t="shared" si="14"/>
        <v>7</v>
      </c>
      <c r="E481" t="s">
        <v>2</v>
      </c>
      <c r="F481" t="s">
        <v>3</v>
      </c>
      <c r="G481" t="s">
        <v>132</v>
      </c>
      <c r="H481" t="s">
        <v>99</v>
      </c>
      <c r="I481" t="s">
        <v>100</v>
      </c>
      <c r="J481" t="s">
        <v>101</v>
      </c>
      <c r="K481" t="s">
        <v>306</v>
      </c>
      <c r="L481" t="s">
        <v>183</v>
      </c>
      <c r="M481" t="s">
        <v>169</v>
      </c>
      <c r="N481" t="s">
        <v>30</v>
      </c>
      <c r="O481">
        <v>18</v>
      </c>
      <c r="P481" t="s">
        <v>91</v>
      </c>
      <c r="Q481" t="s">
        <v>185</v>
      </c>
      <c r="R481" t="s">
        <v>186</v>
      </c>
      <c r="S481" t="s">
        <v>187</v>
      </c>
      <c r="T481" t="s">
        <v>35</v>
      </c>
      <c r="U481">
        <v>2</v>
      </c>
      <c r="V481">
        <v>57</v>
      </c>
      <c r="W481">
        <v>159.6</v>
      </c>
      <c r="X481">
        <v>5</v>
      </c>
      <c r="Y481">
        <v>303.24</v>
      </c>
      <c r="Z481">
        <v>189.24</v>
      </c>
      <c r="AA481" t="s">
        <v>17</v>
      </c>
      <c r="AB481" t="s">
        <v>87</v>
      </c>
      <c r="AC481">
        <v>4</v>
      </c>
      <c r="AD481" t="s">
        <v>105</v>
      </c>
      <c r="AE481" t="s">
        <v>20</v>
      </c>
      <c r="AF481" t="str">
        <f t="shared" si="15"/>
        <v>Yes</v>
      </c>
    </row>
    <row r="482" spans="1:32" x14ac:dyDescent="0.3">
      <c r="A482" t="s">
        <v>1010</v>
      </c>
      <c r="B482" s="1">
        <v>45799</v>
      </c>
      <c r="C482" t="s">
        <v>202</v>
      </c>
      <c r="D482">
        <f t="shared" si="14"/>
        <v>11</v>
      </c>
      <c r="E482" t="s">
        <v>47</v>
      </c>
      <c r="F482" t="s">
        <v>48</v>
      </c>
      <c r="G482" t="s">
        <v>98</v>
      </c>
      <c r="H482" t="s">
        <v>81</v>
      </c>
      <c r="I482" t="s">
        <v>82</v>
      </c>
      <c r="J482" t="s">
        <v>7</v>
      </c>
      <c r="K482" t="s">
        <v>323</v>
      </c>
      <c r="L482" t="s">
        <v>9</v>
      </c>
      <c r="M482" t="s">
        <v>169</v>
      </c>
      <c r="N482" t="s">
        <v>30</v>
      </c>
      <c r="O482">
        <v>35</v>
      </c>
      <c r="P482" t="s">
        <v>12</v>
      </c>
      <c r="Q482" t="s">
        <v>134</v>
      </c>
      <c r="R482" t="s">
        <v>135</v>
      </c>
      <c r="S482" t="s">
        <v>136</v>
      </c>
      <c r="T482" t="s">
        <v>35</v>
      </c>
      <c r="U482">
        <v>2</v>
      </c>
      <c r="V482">
        <v>20</v>
      </c>
      <c r="W482">
        <v>60</v>
      </c>
      <c r="X482">
        <v>5</v>
      </c>
      <c r="Y482">
        <v>114</v>
      </c>
      <c r="Z482">
        <v>74</v>
      </c>
      <c r="AA482" t="s">
        <v>36</v>
      </c>
      <c r="AB482" t="s">
        <v>119</v>
      </c>
      <c r="AC482">
        <v>5</v>
      </c>
      <c r="AD482" t="s">
        <v>19</v>
      </c>
      <c r="AE482" t="s">
        <v>95</v>
      </c>
      <c r="AF482" t="str">
        <f t="shared" si="15"/>
        <v>No</v>
      </c>
    </row>
    <row r="483" spans="1:32" x14ac:dyDescent="0.3">
      <c r="A483" t="s">
        <v>1011</v>
      </c>
      <c r="B483" s="1">
        <v>45716</v>
      </c>
      <c r="C483" t="s">
        <v>233</v>
      </c>
      <c r="D483">
        <f t="shared" si="14"/>
        <v>18</v>
      </c>
      <c r="E483" t="s">
        <v>145</v>
      </c>
      <c r="F483" t="s">
        <v>3</v>
      </c>
      <c r="G483" t="s">
        <v>40</v>
      </c>
      <c r="H483" t="s">
        <v>24</v>
      </c>
      <c r="I483" t="s">
        <v>25</v>
      </c>
      <c r="J483" t="s">
        <v>26</v>
      </c>
      <c r="K483" t="s">
        <v>8</v>
      </c>
      <c r="L483" t="s">
        <v>1012</v>
      </c>
      <c r="M483" t="s">
        <v>225</v>
      </c>
      <c r="N483" t="s">
        <v>30</v>
      </c>
      <c r="O483">
        <v>31</v>
      </c>
      <c r="P483" t="s">
        <v>31</v>
      </c>
      <c r="Q483" t="s">
        <v>230</v>
      </c>
      <c r="R483" t="s">
        <v>231</v>
      </c>
      <c r="S483" t="s">
        <v>128</v>
      </c>
      <c r="T483" t="s">
        <v>35</v>
      </c>
      <c r="U483">
        <v>4</v>
      </c>
      <c r="V483">
        <v>62</v>
      </c>
      <c r="W483">
        <v>186</v>
      </c>
      <c r="X483">
        <v>0</v>
      </c>
      <c r="Y483">
        <v>744</v>
      </c>
      <c r="Z483">
        <v>496</v>
      </c>
      <c r="AA483" t="s">
        <v>36</v>
      </c>
      <c r="AB483" t="s">
        <v>119</v>
      </c>
      <c r="AC483">
        <v>5</v>
      </c>
      <c r="AD483" t="s">
        <v>105</v>
      </c>
      <c r="AE483" t="s">
        <v>95</v>
      </c>
      <c r="AF483" t="str">
        <f t="shared" si="15"/>
        <v>No</v>
      </c>
    </row>
    <row r="484" spans="1:32" x14ac:dyDescent="0.3">
      <c r="A484" t="s">
        <v>1013</v>
      </c>
      <c r="B484" s="1">
        <v>45734</v>
      </c>
      <c r="C484" t="s">
        <v>97</v>
      </c>
      <c r="D484">
        <f t="shared" si="14"/>
        <v>7</v>
      </c>
      <c r="E484" t="s">
        <v>72</v>
      </c>
      <c r="F484" t="s">
        <v>3</v>
      </c>
      <c r="G484" t="s">
        <v>181</v>
      </c>
      <c r="H484" t="s">
        <v>5</v>
      </c>
      <c r="I484" t="s">
        <v>6</v>
      </c>
      <c r="J484" t="s">
        <v>7</v>
      </c>
      <c r="K484" t="s">
        <v>153</v>
      </c>
      <c r="L484" t="s">
        <v>491</v>
      </c>
      <c r="M484" t="s">
        <v>53</v>
      </c>
      <c r="N484" t="s">
        <v>11</v>
      </c>
      <c r="O484">
        <v>55</v>
      </c>
      <c r="P484" t="s">
        <v>31</v>
      </c>
      <c r="Q484" t="s">
        <v>134</v>
      </c>
      <c r="R484" t="s">
        <v>135</v>
      </c>
      <c r="S484" t="s">
        <v>136</v>
      </c>
      <c r="T484" t="s">
        <v>35</v>
      </c>
      <c r="U484">
        <v>3</v>
      </c>
      <c r="V484">
        <v>20</v>
      </c>
      <c r="W484">
        <v>60</v>
      </c>
      <c r="X484">
        <v>5</v>
      </c>
      <c r="Y484">
        <v>171</v>
      </c>
      <c r="Z484">
        <v>111</v>
      </c>
      <c r="AA484" t="s">
        <v>43</v>
      </c>
      <c r="AB484" t="s">
        <v>87</v>
      </c>
      <c r="AC484">
        <v>3</v>
      </c>
      <c r="AD484" t="s">
        <v>19</v>
      </c>
      <c r="AE484" t="s">
        <v>20</v>
      </c>
      <c r="AF484" t="str">
        <f t="shared" si="15"/>
        <v>Yes</v>
      </c>
    </row>
    <row r="485" spans="1:32" x14ac:dyDescent="0.3">
      <c r="A485" t="s">
        <v>1014</v>
      </c>
      <c r="B485" s="1">
        <v>45804</v>
      </c>
      <c r="C485" t="s">
        <v>554</v>
      </c>
      <c r="D485">
        <f t="shared" si="14"/>
        <v>11</v>
      </c>
      <c r="E485" t="s">
        <v>47</v>
      </c>
      <c r="F485" t="s">
        <v>48</v>
      </c>
      <c r="G485" t="s">
        <v>181</v>
      </c>
      <c r="H485" t="s">
        <v>159</v>
      </c>
      <c r="I485" t="s">
        <v>160</v>
      </c>
      <c r="J485" t="s">
        <v>161</v>
      </c>
      <c r="K485" t="s">
        <v>306</v>
      </c>
      <c r="L485" t="s">
        <v>477</v>
      </c>
      <c r="M485" t="s">
        <v>184</v>
      </c>
      <c r="N485" t="s">
        <v>11</v>
      </c>
      <c r="O485">
        <v>33</v>
      </c>
      <c r="P485" t="s">
        <v>91</v>
      </c>
      <c r="Q485" t="s">
        <v>327</v>
      </c>
      <c r="R485" t="s">
        <v>328</v>
      </c>
      <c r="S485" t="s">
        <v>136</v>
      </c>
      <c r="T485" t="s">
        <v>16</v>
      </c>
      <c r="U485">
        <v>4</v>
      </c>
      <c r="V485">
        <v>73</v>
      </c>
      <c r="W485">
        <v>160.6</v>
      </c>
      <c r="X485">
        <v>15</v>
      </c>
      <c r="Y485">
        <v>546.04</v>
      </c>
      <c r="Z485">
        <v>254.04</v>
      </c>
      <c r="AA485" t="s">
        <v>36</v>
      </c>
      <c r="AB485" t="s">
        <v>119</v>
      </c>
      <c r="AC485">
        <v>4</v>
      </c>
      <c r="AD485" t="s">
        <v>19</v>
      </c>
      <c r="AE485" t="s">
        <v>20</v>
      </c>
      <c r="AF485" t="str">
        <f t="shared" si="15"/>
        <v>Yes</v>
      </c>
    </row>
    <row r="486" spans="1:32" x14ac:dyDescent="0.3">
      <c r="A486" t="s">
        <v>1015</v>
      </c>
      <c r="B486" s="1">
        <v>45664</v>
      </c>
      <c r="C486" t="s">
        <v>303</v>
      </c>
      <c r="D486">
        <f t="shared" si="14"/>
        <v>12</v>
      </c>
      <c r="E486" t="s">
        <v>2</v>
      </c>
      <c r="F486" t="s">
        <v>3</v>
      </c>
      <c r="G486" t="s">
        <v>181</v>
      </c>
      <c r="H486" t="s">
        <v>150</v>
      </c>
      <c r="I486" t="s">
        <v>151</v>
      </c>
      <c r="J486" t="s">
        <v>152</v>
      </c>
      <c r="K486" t="s">
        <v>51</v>
      </c>
      <c r="L486" t="s">
        <v>583</v>
      </c>
      <c r="M486" t="s">
        <v>140</v>
      </c>
      <c r="N486" t="s">
        <v>30</v>
      </c>
      <c r="O486">
        <v>26</v>
      </c>
      <c r="P486" t="s">
        <v>76</v>
      </c>
      <c r="Q486" t="s">
        <v>92</v>
      </c>
      <c r="R486" t="s">
        <v>93</v>
      </c>
      <c r="S486" t="s">
        <v>94</v>
      </c>
      <c r="T486" t="s">
        <v>16</v>
      </c>
      <c r="U486">
        <v>2</v>
      </c>
      <c r="V486">
        <v>85</v>
      </c>
      <c r="W486">
        <v>255</v>
      </c>
      <c r="X486">
        <v>10</v>
      </c>
      <c r="Y486">
        <v>459</v>
      </c>
      <c r="Z486">
        <v>289</v>
      </c>
      <c r="AA486" t="s">
        <v>179</v>
      </c>
      <c r="AB486" t="s">
        <v>119</v>
      </c>
      <c r="AC486">
        <v>5</v>
      </c>
      <c r="AD486" t="s">
        <v>105</v>
      </c>
      <c r="AE486" t="s">
        <v>20</v>
      </c>
      <c r="AF486" t="str">
        <f t="shared" si="15"/>
        <v>Yes</v>
      </c>
    </row>
    <row r="487" spans="1:32" x14ac:dyDescent="0.3">
      <c r="A487" t="s">
        <v>1016</v>
      </c>
      <c r="B487" s="1">
        <v>45720</v>
      </c>
      <c r="C487" t="s">
        <v>259</v>
      </c>
      <c r="D487">
        <f t="shared" si="14"/>
        <v>18</v>
      </c>
      <c r="E487" t="s">
        <v>72</v>
      </c>
      <c r="F487" t="s">
        <v>3</v>
      </c>
      <c r="G487" t="s">
        <v>181</v>
      </c>
      <c r="H487" t="s">
        <v>150</v>
      </c>
      <c r="I487" t="s">
        <v>151</v>
      </c>
      <c r="J487" t="s">
        <v>152</v>
      </c>
      <c r="K487" t="s">
        <v>270</v>
      </c>
      <c r="L487" t="s">
        <v>1017</v>
      </c>
      <c r="M487" t="s">
        <v>10</v>
      </c>
      <c r="N487" t="s">
        <v>30</v>
      </c>
      <c r="O487">
        <v>31</v>
      </c>
      <c r="P487" t="s">
        <v>54</v>
      </c>
      <c r="Q487" t="s">
        <v>211</v>
      </c>
      <c r="R487" t="s">
        <v>212</v>
      </c>
      <c r="S487" t="s">
        <v>128</v>
      </c>
      <c r="T487" t="s">
        <v>16</v>
      </c>
      <c r="U487">
        <v>1</v>
      </c>
      <c r="V487">
        <v>50</v>
      </c>
      <c r="W487">
        <v>140</v>
      </c>
      <c r="X487">
        <v>0</v>
      </c>
      <c r="Y487">
        <v>140</v>
      </c>
      <c r="Z487">
        <v>90</v>
      </c>
      <c r="AA487" t="s">
        <v>17</v>
      </c>
      <c r="AB487" t="s">
        <v>37</v>
      </c>
      <c r="AD487" t="s">
        <v>105</v>
      </c>
      <c r="AE487" t="s">
        <v>20</v>
      </c>
      <c r="AF487" t="str">
        <f t="shared" si="15"/>
        <v>Yes</v>
      </c>
    </row>
    <row r="488" spans="1:32" x14ac:dyDescent="0.3">
      <c r="A488" t="s">
        <v>1018</v>
      </c>
      <c r="B488" s="1">
        <v>45771</v>
      </c>
      <c r="C488" t="s">
        <v>189</v>
      </c>
      <c r="D488">
        <f t="shared" si="14"/>
        <v>9</v>
      </c>
      <c r="E488" t="s">
        <v>60</v>
      </c>
      <c r="F488" t="s">
        <v>48</v>
      </c>
      <c r="G488" t="s">
        <v>98</v>
      </c>
      <c r="H488" t="s">
        <v>150</v>
      </c>
      <c r="I488" t="s">
        <v>151</v>
      </c>
      <c r="J488" t="s">
        <v>152</v>
      </c>
      <c r="K488" t="s">
        <v>346</v>
      </c>
      <c r="L488" t="s">
        <v>1019</v>
      </c>
      <c r="M488" t="s">
        <v>140</v>
      </c>
      <c r="N488" t="s">
        <v>11</v>
      </c>
      <c r="O488">
        <v>22</v>
      </c>
      <c r="P488" t="s">
        <v>31</v>
      </c>
      <c r="Q488" t="s">
        <v>313</v>
      </c>
      <c r="R488" t="s">
        <v>314</v>
      </c>
      <c r="S488" t="s">
        <v>128</v>
      </c>
      <c r="T488" t="s">
        <v>35</v>
      </c>
      <c r="U488">
        <v>4</v>
      </c>
      <c r="V488">
        <v>81</v>
      </c>
      <c r="W488">
        <v>202.5</v>
      </c>
      <c r="X488">
        <v>15</v>
      </c>
      <c r="Y488">
        <v>688.5</v>
      </c>
      <c r="Z488">
        <v>364.5</v>
      </c>
      <c r="AA488" t="s">
        <v>17</v>
      </c>
      <c r="AB488" t="s">
        <v>37</v>
      </c>
      <c r="AD488" t="s">
        <v>19</v>
      </c>
      <c r="AE488" t="s">
        <v>95</v>
      </c>
      <c r="AF488" t="str">
        <f t="shared" si="15"/>
        <v>No</v>
      </c>
    </row>
    <row r="489" spans="1:32" x14ac:dyDescent="0.3">
      <c r="A489" t="s">
        <v>1020</v>
      </c>
      <c r="B489" s="1">
        <v>45823</v>
      </c>
      <c r="C489" t="s">
        <v>22</v>
      </c>
      <c r="D489">
        <f t="shared" si="14"/>
        <v>7</v>
      </c>
      <c r="E489" t="s">
        <v>131</v>
      </c>
      <c r="F489" t="s">
        <v>48</v>
      </c>
      <c r="G489" t="s">
        <v>4</v>
      </c>
      <c r="H489" t="s">
        <v>5</v>
      </c>
      <c r="I489" t="s">
        <v>6</v>
      </c>
      <c r="J489" t="s">
        <v>7</v>
      </c>
      <c r="K489" t="s">
        <v>114</v>
      </c>
      <c r="L489" t="s">
        <v>9</v>
      </c>
      <c r="M489" t="s">
        <v>162</v>
      </c>
      <c r="N489" t="s">
        <v>30</v>
      </c>
      <c r="O489">
        <v>50</v>
      </c>
      <c r="P489" t="s">
        <v>12</v>
      </c>
      <c r="Q489" t="s">
        <v>116</v>
      </c>
      <c r="R489" t="s">
        <v>117</v>
      </c>
      <c r="S489" t="s">
        <v>118</v>
      </c>
      <c r="T489" t="s">
        <v>35</v>
      </c>
      <c r="U489">
        <v>2</v>
      </c>
      <c r="V489">
        <v>99</v>
      </c>
      <c r="W489">
        <v>277.2</v>
      </c>
      <c r="X489">
        <v>5</v>
      </c>
      <c r="Y489">
        <v>526.67999999999995</v>
      </c>
      <c r="Z489">
        <v>328.68</v>
      </c>
      <c r="AA489" t="s">
        <v>17</v>
      </c>
      <c r="AB489" t="s">
        <v>37</v>
      </c>
      <c r="AC489">
        <v>5</v>
      </c>
      <c r="AD489" t="s">
        <v>105</v>
      </c>
      <c r="AE489" t="s">
        <v>20</v>
      </c>
      <c r="AF489" t="str">
        <f t="shared" si="15"/>
        <v>Yes</v>
      </c>
    </row>
    <row r="490" spans="1:32" x14ac:dyDescent="0.3">
      <c r="A490" t="s">
        <v>1021</v>
      </c>
      <c r="B490" s="1">
        <v>45658</v>
      </c>
      <c r="C490" t="s">
        <v>537</v>
      </c>
      <c r="D490">
        <f t="shared" si="14"/>
        <v>8</v>
      </c>
      <c r="E490" t="s">
        <v>2</v>
      </c>
      <c r="F490" t="s">
        <v>3</v>
      </c>
      <c r="G490" t="s">
        <v>73</v>
      </c>
      <c r="H490" t="s">
        <v>5</v>
      </c>
      <c r="I490" t="s">
        <v>6</v>
      </c>
      <c r="J490" t="s">
        <v>7</v>
      </c>
      <c r="K490" t="s">
        <v>107</v>
      </c>
      <c r="L490" t="s">
        <v>316</v>
      </c>
      <c r="M490" t="s">
        <v>65</v>
      </c>
      <c r="N490" t="s">
        <v>30</v>
      </c>
      <c r="O490">
        <v>63</v>
      </c>
      <c r="P490" t="s">
        <v>54</v>
      </c>
      <c r="Q490" t="s">
        <v>300</v>
      </c>
      <c r="R490" t="s">
        <v>301</v>
      </c>
      <c r="S490" t="s">
        <v>187</v>
      </c>
      <c r="T490" t="s">
        <v>35</v>
      </c>
      <c r="U490">
        <v>3</v>
      </c>
      <c r="V490">
        <v>86</v>
      </c>
      <c r="W490">
        <v>258</v>
      </c>
      <c r="X490">
        <v>0</v>
      </c>
      <c r="Y490">
        <v>774</v>
      </c>
      <c r="Z490">
        <v>516</v>
      </c>
      <c r="AA490" t="s">
        <v>17</v>
      </c>
      <c r="AB490" t="s">
        <v>18</v>
      </c>
      <c r="AC490">
        <v>3</v>
      </c>
      <c r="AD490" t="s">
        <v>105</v>
      </c>
      <c r="AE490" t="s">
        <v>20</v>
      </c>
      <c r="AF490" t="str">
        <f t="shared" si="15"/>
        <v>Yes</v>
      </c>
    </row>
    <row r="491" spans="1:32" x14ac:dyDescent="0.3">
      <c r="A491" t="s">
        <v>1022</v>
      </c>
      <c r="B491" s="1">
        <v>45748</v>
      </c>
      <c r="C491" t="s">
        <v>202</v>
      </c>
      <c r="D491">
        <f t="shared" si="14"/>
        <v>11</v>
      </c>
      <c r="E491" t="s">
        <v>60</v>
      </c>
      <c r="F491" t="s">
        <v>48</v>
      </c>
      <c r="G491" t="s">
        <v>181</v>
      </c>
      <c r="H491" t="s">
        <v>159</v>
      </c>
      <c r="I491" t="s">
        <v>160</v>
      </c>
      <c r="J491" t="s">
        <v>161</v>
      </c>
      <c r="K491" t="s">
        <v>229</v>
      </c>
      <c r="L491" t="s">
        <v>972</v>
      </c>
      <c r="M491" t="s">
        <v>169</v>
      </c>
      <c r="N491" t="s">
        <v>30</v>
      </c>
      <c r="O491">
        <v>61</v>
      </c>
      <c r="P491" t="s">
        <v>12</v>
      </c>
      <c r="Q491" t="s">
        <v>252</v>
      </c>
      <c r="R491" t="s">
        <v>253</v>
      </c>
      <c r="S491" t="s">
        <v>178</v>
      </c>
      <c r="T491" t="s">
        <v>35</v>
      </c>
      <c r="U491">
        <v>1</v>
      </c>
      <c r="V491">
        <v>82</v>
      </c>
      <c r="W491">
        <v>205</v>
      </c>
      <c r="X491">
        <v>0</v>
      </c>
      <c r="Y491">
        <v>205</v>
      </c>
      <c r="Z491">
        <v>123</v>
      </c>
      <c r="AA491" t="s">
        <v>43</v>
      </c>
      <c r="AB491" t="s">
        <v>37</v>
      </c>
      <c r="AC491">
        <v>4</v>
      </c>
      <c r="AD491" t="s">
        <v>19</v>
      </c>
      <c r="AE491" t="s">
        <v>20</v>
      </c>
      <c r="AF491" t="str">
        <f t="shared" si="15"/>
        <v>Yes</v>
      </c>
    </row>
    <row r="492" spans="1:32" x14ac:dyDescent="0.3">
      <c r="A492" t="s">
        <v>1023</v>
      </c>
      <c r="B492" s="1">
        <v>45718</v>
      </c>
      <c r="C492" t="s">
        <v>407</v>
      </c>
      <c r="D492">
        <f t="shared" si="14"/>
        <v>8</v>
      </c>
      <c r="E492" t="s">
        <v>72</v>
      </c>
      <c r="F492" t="s">
        <v>3</v>
      </c>
      <c r="G492" t="s">
        <v>4</v>
      </c>
      <c r="H492" t="s">
        <v>159</v>
      </c>
      <c r="I492" t="s">
        <v>160</v>
      </c>
      <c r="J492" t="s">
        <v>161</v>
      </c>
      <c r="K492" t="s">
        <v>8</v>
      </c>
      <c r="L492" t="s">
        <v>239</v>
      </c>
      <c r="M492" t="s">
        <v>162</v>
      </c>
      <c r="N492" t="s">
        <v>30</v>
      </c>
      <c r="O492">
        <v>57</v>
      </c>
      <c r="P492" t="s">
        <v>91</v>
      </c>
      <c r="Q492" t="s">
        <v>176</v>
      </c>
      <c r="R492" t="s">
        <v>177</v>
      </c>
      <c r="S492" t="s">
        <v>178</v>
      </c>
      <c r="T492" t="s">
        <v>16</v>
      </c>
      <c r="U492">
        <v>1</v>
      </c>
      <c r="V492">
        <v>56</v>
      </c>
      <c r="W492">
        <v>156.80000000000001</v>
      </c>
      <c r="X492">
        <v>0</v>
      </c>
      <c r="Y492">
        <v>156.80000000000001</v>
      </c>
      <c r="Z492">
        <v>100.8</v>
      </c>
      <c r="AA492" t="s">
        <v>43</v>
      </c>
      <c r="AB492" t="s">
        <v>44</v>
      </c>
      <c r="AC492">
        <v>4</v>
      </c>
      <c r="AD492" t="s">
        <v>19</v>
      </c>
      <c r="AE492" t="s">
        <v>20</v>
      </c>
      <c r="AF492" t="str">
        <f t="shared" si="15"/>
        <v>Yes</v>
      </c>
    </row>
    <row r="493" spans="1:32" x14ac:dyDescent="0.3">
      <c r="A493" t="s">
        <v>1024</v>
      </c>
      <c r="B493" s="1">
        <v>45664</v>
      </c>
      <c r="C493" t="s">
        <v>259</v>
      </c>
      <c r="D493">
        <f t="shared" si="14"/>
        <v>18</v>
      </c>
      <c r="E493" t="s">
        <v>2</v>
      </c>
      <c r="F493" t="s">
        <v>3</v>
      </c>
      <c r="G493" t="s">
        <v>181</v>
      </c>
      <c r="H493" t="s">
        <v>81</v>
      </c>
      <c r="I493" t="s">
        <v>82</v>
      </c>
      <c r="J493" t="s">
        <v>7</v>
      </c>
      <c r="K493" t="s">
        <v>196</v>
      </c>
      <c r="L493" t="s">
        <v>760</v>
      </c>
      <c r="M493" t="s">
        <v>53</v>
      </c>
      <c r="N493" t="s">
        <v>30</v>
      </c>
      <c r="O493">
        <v>35</v>
      </c>
      <c r="P493" t="s">
        <v>12</v>
      </c>
      <c r="Q493" t="s">
        <v>109</v>
      </c>
      <c r="R493" t="s">
        <v>110</v>
      </c>
      <c r="S493" t="s">
        <v>111</v>
      </c>
      <c r="T493" t="s">
        <v>16</v>
      </c>
      <c r="U493">
        <v>3</v>
      </c>
      <c r="V493">
        <v>83</v>
      </c>
      <c r="W493">
        <v>182.6</v>
      </c>
      <c r="X493">
        <v>5</v>
      </c>
      <c r="Y493">
        <v>520.41</v>
      </c>
      <c r="Z493">
        <v>271.41000000000003</v>
      </c>
      <c r="AA493" t="s">
        <v>179</v>
      </c>
      <c r="AB493" t="s">
        <v>44</v>
      </c>
      <c r="AD493" t="s">
        <v>105</v>
      </c>
      <c r="AE493" t="s">
        <v>20</v>
      </c>
      <c r="AF493" t="str">
        <f t="shared" si="15"/>
        <v>Yes</v>
      </c>
    </row>
    <row r="494" spans="1:32" x14ac:dyDescent="0.3">
      <c r="A494" t="s">
        <v>1025</v>
      </c>
      <c r="B494" s="1">
        <v>45814</v>
      </c>
      <c r="C494" t="s">
        <v>174</v>
      </c>
      <c r="D494">
        <f t="shared" si="14"/>
        <v>17</v>
      </c>
      <c r="E494" t="s">
        <v>131</v>
      </c>
      <c r="F494" t="s">
        <v>48</v>
      </c>
      <c r="G494" t="s">
        <v>40</v>
      </c>
      <c r="H494" t="s">
        <v>159</v>
      </c>
      <c r="I494" t="s">
        <v>160</v>
      </c>
      <c r="J494" t="s">
        <v>161</v>
      </c>
      <c r="K494" t="s">
        <v>63</v>
      </c>
      <c r="L494" t="s">
        <v>248</v>
      </c>
      <c r="M494" t="s">
        <v>29</v>
      </c>
      <c r="N494" t="s">
        <v>30</v>
      </c>
      <c r="O494">
        <v>16</v>
      </c>
      <c r="P494" t="s">
        <v>31</v>
      </c>
      <c r="Q494" t="s">
        <v>55</v>
      </c>
      <c r="R494" t="s">
        <v>56</v>
      </c>
      <c r="S494" t="s">
        <v>57</v>
      </c>
      <c r="T494" t="s">
        <v>35</v>
      </c>
      <c r="U494">
        <v>3</v>
      </c>
      <c r="V494">
        <v>36</v>
      </c>
      <c r="W494">
        <v>79.2</v>
      </c>
      <c r="X494">
        <v>0</v>
      </c>
      <c r="Y494">
        <v>237.6</v>
      </c>
      <c r="Z494">
        <v>129.6</v>
      </c>
      <c r="AA494" t="s">
        <v>36</v>
      </c>
      <c r="AB494" t="s">
        <v>37</v>
      </c>
      <c r="AC494">
        <v>4</v>
      </c>
      <c r="AD494" t="s">
        <v>105</v>
      </c>
      <c r="AE494" t="s">
        <v>95</v>
      </c>
      <c r="AF494" t="str">
        <f t="shared" si="15"/>
        <v>No</v>
      </c>
    </row>
    <row r="495" spans="1:32" x14ac:dyDescent="0.3">
      <c r="A495" t="s">
        <v>1026</v>
      </c>
      <c r="B495" s="1">
        <v>45761</v>
      </c>
      <c r="C495" t="s">
        <v>207</v>
      </c>
      <c r="D495">
        <f t="shared" si="14"/>
        <v>20</v>
      </c>
      <c r="E495" t="s">
        <v>60</v>
      </c>
      <c r="F495" t="s">
        <v>48</v>
      </c>
      <c r="G495" t="s">
        <v>23</v>
      </c>
      <c r="H495" t="s">
        <v>159</v>
      </c>
      <c r="I495" t="s">
        <v>160</v>
      </c>
      <c r="J495" t="s">
        <v>161</v>
      </c>
      <c r="K495" t="s">
        <v>114</v>
      </c>
      <c r="L495" t="s">
        <v>975</v>
      </c>
      <c r="M495" t="s">
        <v>184</v>
      </c>
      <c r="N495" t="s">
        <v>11</v>
      </c>
      <c r="O495">
        <v>53</v>
      </c>
      <c r="P495" t="s">
        <v>31</v>
      </c>
      <c r="Q495" t="s">
        <v>226</v>
      </c>
      <c r="R495" t="s">
        <v>227</v>
      </c>
      <c r="S495" t="s">
        <v>68</v>
      </c>
      <c r="T495" t="s">
        <v>35</v>
      </c>
      <c r="U495">
        <v>2</v>
      </c>
      <c r="V495">
        <v>43</v>
      </c>
      <c r="W495">
        <v>94.6</v>
      </c>
      <c r="X495">
        <v>15</v>
      </c>
      <c r="Y495">
        <v>160.82</v>
      </c>
      <c r="Z495">
        <v>74.819999999999993</v>
      </c>
      <c r="AA495" t="s">
        <v>17</v>
      </c>
      <c r="AB495" t="s">
        <v>44</v>
      </c>
      <c r="AC495">
        <v>3</v>
      </c>
      <c r="AD495" t="s">
        <v>19</v>
      </c>
      <c r="AE495" t="s">
        <v>20</v>
      </c>
      <c r="AF495" t="str">
        <f t="shared" si="15"/>
        <v>Yes</v>
      </c>
    </row>
    <row r="496" spans="1:32" x14ac:dyDescent="0.3">
      <c r="A496" t="s">
        <v>1027</v>
      </c>
      <c r="B496" s="1">
        <v>45752</v>
      </c>
      <c r="C496" t="s">
        <v>265</v>
      </c>
      <c r="D496">
        <f t="shared" si="14"/>
        <v>7</v>
      </c>
      <c r="E496" t="s">
        <v>60</v>
      </c>
      <c r="F496" t="s">
        <v>48</v>
      </c>
      <c r="G496" t="s">
        <v>132</v>
      </c>
      <c r="H496" t="s">
        <v>122</v>
      </c>
      <c r="I496" t="s">
        <v>123</v>
      </c>
      <c r="J496" t="s">
        <v>7</v>
      </c>
      <c r="K496" t="s">
        <v>107</v>
      </c>
      <c r="L496" t="s">
        <v>811</v>
      </c>
      <c r="M496" t="s">
        <v>29</v>
      </c>
      <c r="N496" t="s">
        <v>11</v>
      </c>
      <c r="O496">
        <v>52</v>
      </c>
      <c r="P496" t="s">
        <v>54</v>
      </c>
      <c r="Q496" t="s">
        <v>134</v>
      </c>
      <c r="R496" t="s">
        <v>135</v>
      </c>
      <c r="S496" t="s">
        <v>136</v>
      </c>
      <c r="T496" t="s">
        <v>35</v>
      </c>
      <c r="U496">
        <v>1</v>
      </c>
      <c r="V496">
        <v>20</v>
      </c>
      <c r="W496">
        <v>60</v>
      </c>
      <c r="X496">
        <v>15</v>
      </c>
      <c r="Y496">
        <v>51</v>
      </c>
      <c r="Z496">
        <v>31</v>
      </c>
      <c r="AA496" t="s">
        <v>69</v>
      </c>
      <c r="AB496" t="s">
        <v>87</v>
      </c>
      <c r="AC496">
        <v>4</v>
      </c>
      <c r="AD496" t="s">
        <v>19</v>
      </c>
      <c r="AE496" t="s">
        <v>20</v>
      </c>
      <c r="AF496" t="str">
        <f t="shared" si="15"/>
        <v>Yes</v>
      </c>
    </row>
    <row r="497" spans="1:32" x14ac:dyDescent="0.3">
      <c r="A497" t="s">
        <v>1028</v>
      </c>
      <c r="B497" s="1">
        <v>45761</v>
      </c>
      <c r="C497" t="s">
        <v>174</v>
      </c>
      <c r="D497">
        <f t="shared" si="14"/>
        <v>17</v>
      </c>
      <c r="E497" t="s">
        <v>60</v>
      </c>
      <c r="F497" t="s">
        <v>48</v>
      </c>
      <c r="G497" t="s">
        <v>23</v>
      </c>
      <c r="H497" t="s">
        <v>159</v>
      </c>
      <c r="I497" t="s">
        <v>160</v>
      </c>
      <c r="J497" t="s">
        <v>161</v>
      </c>
      <c r="K497" t="s">
        <v>196</v>
      </c>
      <c r="L497" t="s">
        <v>688</v>
      </c>
      <c r="M497" t="s">
        <v>225</v>
      </c>
      <c r="N497" t="s">
        <v>30</v>
      </c>
      <c r="O497">
        <v>21</v>
      </c>
      <c r="P497" t="s">
        <v>76</v>
      </c>
      <c r="Q497" t="s">
        <v>313</v>
      </c>
      <c r="R497" t="s">
        <v>314</v>
      </c>
      <c r="S497" t="s">
        <v>128</v>
      </c>
      <c r="T497" t="s">
        <v>35</v>
      </c>
      <c r="U497">
        <v>3</v>
      </c>
      <c r="V497">
        <v>81</v>
      </c>
      <c r="W497">
        <v>202.5</v>
      </c>
      <c r="X497">
        <v>15</v>
      </c>
      <c r="Y497">
        <v>516.38</v>
      </c>
      <c r="Z497">
        <v>273.38</v>
      </c>
      <c r="AA497" t="s">
        <v>17</v>
      </c>
      <c r="AB497" t="s">
        <v>129</v>
      </c>
      <c r="AD497" t="s">
        <v>105</v>
      </c>
      <c r="AE497" t="s">
        <v>95</v>
      </c>
      <c r="AF497" t="str">
        <f t="shared" si="15"/>
        <v>No</v>
      </c>
    </row>
    <row r="498" spans="1:32" x14ac:dyDescent="0.3">
      <c r="A498" t="s">
        <v>1029</v>
      </c>
      <c r="B498" s="1">
        <v>45790</v>
      </c>
      <c r="C498" t="s">
        <v>388</v>
      </c>
      <c r="D498">
        <f t="shared" si="14"/>
        <v>19</v>
      </c>
      <c r="E498" t="s">
        <v>47</v>
      </c>
      <c r="F498" t="s">
        <v>48</v>
      </c>
      <c r="G498" t="s">
        <v>181</v>
      </c>
      <c r="H498" t="s">
        <v>99</v>
      </c>
      <c r="I498" t="s">
        <v>100</v>
      </c>
      <c r="J498" t="s">
        <v>101</v>
      </c>
      <c r="K498" t="s">
        <v>27</v>
      </c>
      <c r="L498" t="s">
        <v>1030</v>
      </c>
      <c r="M498" t="s">
        <v>65</v>
      </c>
      <c r="N498" t="s">
        <v>11</v>
      </c>
      <c r="O498">
        <v>20</v>
      </c>
      <c r="P498" t="s">
        <v>31</v>
      </c>
      <c r="Q498" t="s">
        <v>116</v>
      </c>
      <c r="R498" t="s">
        <v>117</v>
      </c>
      <c r="S498" t="s">
        <v>118</v>
      </c>
      <c r="T498" t="s">
        <v>35</v>
      </c>
      <c r="U498">
        <v>4</v>
      </c>
      <c r="V498">
        <v>99</v>
      </c>
      <c r="W498">
        <v>277.2</v>
      </c>
      <c r="X498">
        <v>5</v>
      </c>
      <c r="Y498">
        <v>1053.3599999999999</v>
      </c>
      <c r="Z498">
        <v>657.36</v>
      </c>
      <c r="AA498" t="s">
        <v>36</v>
      </c>
      <c r="AB498" t="s">
        <v>44</v>
      </c>
      <c r="AC498">
        <v>4</v>
      </c>
      <c r="AD498" t="s">
        <v>105</v>
      </c>
      <c r="AE498" t="s">
        <v>20</v>
      </c>
      <c r="AF498" t="str">
        <f t="shared" si="15"/>
        <v>Yes</v>
      </c>
    </row>
    <row r="499" spans="1:32" x14ac:dyDescent="0.3">
      <c r="A499" t="s">
        <v>1031</v>
      </c>
      <c r="B499" s="1">
        <v>45741</v>
      </c>
      <c r="C499" t="s">
        <v>283</v>
      </c>
      <c r="D499">
        <f t="shared" si="14"/>
        <v>14</v>
      </c>
      <c r="E499" t="s">
        <v>72</v>
      </c>
      <c r="F499" t="s">
        <v>3</v>
      </c>
      <c r="G499" t="s">
        <v>181</v>
      </c>
      <c r="H499" t="s">
        <v>24</v>
      </c>
      <c r="I499" t="s">
        <v>25</v>
      </c>
      <c r="J499" t="s">
        <v>26</v>
      </c>
      <c r="K499" t="s">
        <v>153</v>
      </c>
      <c r="L499" t="s">
        <v>1032</v>
      </c>
      <c r="M499" t="s">
        <v>261</v>
      </c>
      <c r="N499" t="s">
        <v>30</v>
      </c>
      <c r="O499">
        <v>23</v>
      </c>
      <c r="P499" t="s">
        <v>54</v>
      </c>
      <c r="Q499" t="s">
        <v>364</v>
      </c>
      <c r="R499" t="s">
        <v>365</v>
      </c>
      <c r="S499" t="s">
        <v>187</v>
      </c>
      <c r="T499" t="s">
        <v>35</v>
      </c>
      <c r="U499">
        <v>3</v>
      </c>
      <c r="V499">
        <v>28</v>
      </c>
      <c r="W499">
        <v>84</v>
      </c>
      <c r="X499">
        <v>0</v>
      </c>
      <c r="Y499">
        <v>252</v>
      </c>
      <c r="Z499">
        <v>168</v>
      </c>
      <c r="AA499" t="s">
        <v>36</v>
      </c>
      <c r="AB499" t="s">
        <v>119</v>
      </c>
      <c r="AC499">
        <v>4</v>
      </c>
      <c r="AD499" t="s">
        <v>105</v>
      </c>
      <c r="AE499" t="s">
        <v>20</v>
      </c>
      <c r="AF499" t="str">
        <f t="shared" si="15"/>
        <v>Yes</v>
      </c>
    </row>
    <row r="500" spans="1:32" x14ac:dyDescent="0.3">
      <c r="A500" t="s">
        <v>1033</v>
      </c>
      <c r="B500" s="1">
        <v>45661</v>
      </c>
      <c r="C500" t="s">
        <v>283</v>
      </c>
      <c r="D500">
        <f t="shared" si="14"/>
        <v>14</v>
      </c>
      <c r="E500" t="s">
        <v>2</v>
      </c>
      <c r="F500" t="s">
        <v>3</v>
      </c>
      <c r="G500" t="s">
        <v>132</v>
      </c>
      <c r="H500" t="s">
        <v>164</v>
      </c>
      <c r="I500" t="s">
        <v>165</v>
      </c>
      <c r="J500" t="s">
        <v>166</v>
      </c>
      <c r="K500" t="s">
        <v>323</v>
      </c>
      <c r="L500" t="s">
        <v>1034</v>
      </c>
      <c r="M500" t="s">
        <v>184</v>
      </c>
      <c r="N500" t="s">
        <v>11</v>
      </c>
      <c r="O500">
        <v>51</v>
      </c>
      <c r="P500" t="s">
        <v>91</v>
      </c>
      <c r="Q500" t="s">
        <v>66</v>
      </c>
      <c r="R500" t="s">
        <v>67</v>
      </c>
      <c r="S500" t="s">
        <v>68</v>
      </c>
      <c r="T500" t="s">
        <v>16</v>
      </c>
      <c r="U500">
        <v>4</v>
      </c>
      <c r="V500">
        <v>43</v>
      </c>
      <c r="W500">
        <v>120.4</v>
      </c>
      <c r="X500">
        <v>5</v>
      </c>
      <c r="Y500">
        <v>457.52</v>
      </c>
      <c r="Z500">
        <v>285.52</v>
      </c>
      <c r="AA500" t="s">
        <v>36</v>
      </c>
      <c r="AB500" t="s">
        <v>119</v>
      </c>
      <c r="AD500" t="s">
        <v>19</v>
      </c>
      <c r="AE500" t="s">
        <v>95</v>
      </c>
      <c r="AF500" t="str">
        <f t="shared" si="15"/>
        <v>No</v>
      </c>
    </row>
    <row r="501" spans="1:32" x14ac:dyDescent="0.3">
      <c r="A501" t="s">
        <v>1035</v>
      </c>
      <c r="B501" s="1">
        <v>45721</v>
      </c>
      <c r="C501" t="s">
        <v>207</v>
      </c>
      <c r="D501">
        <f t="shared" si="14"/>
        <v>20</v>
      </c>
      <c r="E501" t="s">
        <v>72</v>
      </c>
      <c r="F501" t="s">
        <v>3</v>
      </c>
      <c r="G501" t="s">
        <v>73</v>
      </c>
      <c r="H501" t="s">
        <v>159</v>
      </c>
      <c r="I501" t="s">
        <v>160</v>
      </c>
      <c r="J501" t="s">
        <v>161</v>
      </c>
      <c r="K501" t="s">
        <v>138</v>
      </c>
      <c r="L501" t="s">
        <v>1036</v>
      </c>
      <c r="M501" t="s">
        <v>53</v>
      </c>
      <c r="N501" t="s">
        <v>11</v>
      </c>
      <c r="O501">
        <v>25</v>
      </c>
      <c r="P501" t="s">
        <v>54</v>
      </c>
      <c r="Q501" t="s">
        <v>295</v>
      </c>
      <c r="R501" t="s">
        <v>296</v>
      </c>
      <c r="S501" t="s">
        <v>57</v>
      </c>
      <c r="T501" t="s">
        <v>35</v>
      </c>
      <c r="U501">
        <v>4</v>
      </c>
      <c r="V501">
        <v>62</v>
      </c>
      <c r="W501">
        <v>186</v>
      </c>
      <c r="X501">
        <v>5</v>
      </c>
      <c r="Y501">
        <v>706.8</v>
      </c>
      <c r="Z501">
        <v>458.8</v>
      </c>
      <c r="AA501" t="s">
        <v>36</v>
      </c>
      <c r="AB501" t="s">
        <v>119</v>
      </c>
      <c r="AC501">
        <v>5</v>
      </c>
      <c r="AD501" t="s">
        <v>19</v>
      </c>
      <c r="AE501" t="s">
        <v>95</v>
      </c>
      <c r="AF501" t="str">
        <f t="shared" si="15"/>
        <v>No</v>
      </c>
    </row>
    <row r="502" spans="1:32" x14ac:dyDescent="0.3">
      <c r="A502" t="s">
        <v>1037</v>
      </c>
      <c r="B502" s="1">
        <v>45688</v>
      </c>
      <c r="C502" t="s">
        <v>554</v>
      </c>
      <c r="D502">
        <f t="shared" si="14"/>
        <v>11</v>
      </c>
      <c r="E502" t="s">
        <v>2</v>
      </c>
      <c r="F502" t="s">
        <v>3</v>
      </c>
      <c r="G502" t="s">
        <v>40</v>
      </c>
      <c r="H502" t="s">
        <v>81</v>
      </c>
      <c r="I502" t="s">
        <v>82</v>
      </c>
      <c r="J502" t="s">
        <v>7</v>
      </c>
      <c r="K502" t="s">
        <v>196</v>
      </c>
      <c r="L502" t="s">
        <v>845</v>
      </c>
      <c r="M502" t="s">
        <v>10</v>
      </c>
      <c r="N502" t="s">
        <v>30</v>
      </c>
      <c r="O502">
        <v>16</v>
      </c>
      <c r="P502" t="s">
        <v>76</v>
      </c>
      <c r="Q502" t="s">
        <v>409</v>
      </c>
      <c r="R502" t="s">
        <v>410</v>
      </c>
      <c r="S502" t="s">
        <v>237</v>
      </c>
      <c r="T502" t="s">
        <v>16</v>
      </c>
      <c r="U502">
        <v>3</v>
      </c>
      <c r="V502">
        <v>26</v>
      </c>
      <c r="W502">
        <v>78</v>
      </c>
      <c r="X502">
        <v>10</v>
      </c>
      <c r="Y502">
        <v>210.6</v>
      </c>
      <c r="Z502">
        <v>132.6</v>
      </c>
      <c r="AA502" t="s">
        <v>17</v>
      </c>
      <c r="AB502" t="s">
        <v>44</v>
      </c>
      <c r="AC502">
        <v>5</v>
      </c>
      <c r="AD502" t="s">
        <v>19</v>
      </c>
      <c r="AE502" t="s">
        <v>95</v>
      </c>
      <c r="AF502" t="str">
        <f t="shared" si="15"/>
        <v>No</v>
      </c>
    </row>
    <row r="503" spans="1:32" x14ac:dyDescent="0.3">
      <c r="A503" t="s">
        <v>1038</v>
      </c>
      <c r="B503" s="1">
        <v>45720</v>
      </c>
      <c r="C503" t="s">
        <v>322</v>
      </c>
      <c r="D503">
        <f t="shared" si="14"/>
        <v>10</v>
      </c>
      <c r="E503" t="s">
        <v>72</v>
      </c>
      <c r="F503" t="s">
        <v>3</v>
      </c>
      <c r="G503" t="s">
        <v>181</v>
      </c>
      <c r="H503" t="s">
        <v>49</v>
      </c>
      <c r="I503" t="s">
        <v>50</v>
      </c>
      <c r="J503" t="s">
        <v>7</v>
      </c>
      <c r="K503" t="s">
        <v>153</v>
      </c>
      <c r="L503" t="s">
        <v>108</v>
      </c>
      <c r="M503" t="s">
        <v>10</v>
      </c>
      <c r="N503" t="s">
        <v>30</v>
      </c>
      <c r="O503">
        <v>28</v>
      </c>
      <c r="P503" t="s">
        <v>12</v>
      </c>
      <c r="Q503" t="s">
        <v>252</v>
      </c>
      <c r="R503" t="s">
        <v>253</v>
      </c>
      <c r="S503" t="s">
        <v>178</v>
      </c>
      <c r="T503" t="s">
        <v>35</v>
      </c>
      <c r="U503">
        <v>3</v>
      </c>
      <c r="V503">
        <v>82</v>
      </c>
      <c r="W503">
        <v>205</v>
      </c>
      <c r="X503">
        <v>15</v>
      </c>
      <c r="Y503">
        <v>522.75</v>
      </c>
      <c r="Z503">
        <v>276.75</v>
      </c>
      <c r="AA503" t="s">
        <v>43</v>
      </c>
      <c r="AB503" t="s">
        <v>18</v>
      </c>
      <c r="AD503" t="s">
        <v>19</v>
      </c>
      <c r="AE503" t="s">
        <v>20</v>
      </c>
      <c r="AF503" t="str">
        <f t="shared" si="15"/>
        <v>Yes</v>
      </c>
    </row>
    <row r="504" spans="1:32" x14ac:dyDescent="0.3">
      <c r="A504" t="s">
        <v>1039</v>
      </c>
      <c r="B504" s="1">
        <v>45780</v>
      </c>
      <c r="C504" t="s">
        <v>144</v>
      </c>
      <c r="D504">
        <f t="shared" si="14"/>
        <v>20</v>
      </c>
      <c r="E504" t="s">
        <v>47</v>
      </c>
      <c r="F504" t="s">
        <v>48</v>
      </c>
      <c r="G504" t="s">
        <v>132</v>
      </c>
      <c r="H504" t="s">
        <v>61</v>
      </c>
      <c r="I504" t="s">
        <v>62</v>
      </c>
      <c r="J504" t="s">
        <v>7</v>
      </c>
      <c r="K504" t="s">
        <v>352</v>
      </c>
      <c r="L504" t="s">
        <v>412</v>
      </c>
      <c r="M504" t="s">
        <v>65</v>
      </c>
      <c r="N504" t="s">
        <v>11</v>
      </c>
      <c r="O504">
        <v>36</v>
      </c>
      <c r="P504" t="s">
        <v>31</v>
      </c>
      <c r="Q504" t="s">
        <v>134</v>
      </c>
      <c r="R504" t="s">
        <v>135</v>
      </c>
      <c r="S504" t="s">
        <v>136</v>
      </c>
      <c r="T504" t="s">
        <v>35</v>
      </c>
      <c r="U504">
        <v>4</v>
      </c>
      <c r="V504">
        <v>20</v>
      </c>
      <c r="W504">
        <v>60</v>
      </c>
      <c r="X504">
        <v>15</v>
      </c>
      <c r="Y504">
        <v>204</v>
      </c>
      <c r="Z504">
        <v>124</v>
      </c>
      <c r="AA504" t="s">
        <v>17</v>
      </c>
      <c r="AB504" t="s">
        <v>37</v>
      </c>
      <c r="AC504">
        <v>4</v>
      </c>
      <c r="AD504" t="s">
        <v>105</v>
      </c>
      <c r="AE504" t="s">
        <v>20</v>
      </c>
      <c r="AF504" t="str">
        <f t="shared" si="15"/>
        <v>Yes</v>
      </c>
    </row>
    <row r="505" spans="1:32" x14ac:dyDescent="0.3">
      <c r="A505" t="s">
        <v>1040</v>
      </c>
      <c r="B505" s="1">
        <v>45732</v>
      </c>
      <c r="C505" t="s">
        <v>89</v>
      </c>
      <c r="D505">
        <f t="shared" si="14"/>
        <v>13</v>
      </c>
      <c r="E505" t="s">
        <v>72</v>
      </c>
      <c r="F505" t="s">
        <v>3</v>
      </c>
      <c r="G505" t="s">
        <v>4</v>
      </c>
      <c r="H505" t="s">
        <v>99</v>
      </c>
      <c r="I505" t="s">
        <v>100</v>
      </c>
      <c r="J505" t="s">
        <v>101</v>
      </c>
      <c r="K505" t="s">
        <v>107</v>
      </c>
      <c r="L505" t="s">
        <v>1041</v>
      </c>
      <c r="M505" t="s">
        <v>10</v>
      </c>
      <c r="N505" t="s">
        <v>11</v>
      </c>
      <c r="O505">
        <v>40</v>
      </c>
      <c r="P505" t="s">
        <v>54</v>
      </c>
      <c r="Q505" t="s">
        <v>256</v>
      </c>
      <c r="R505" t="s">
        <v>257</v>
      </c>
      <c r="S505" t="s">
        <v>118</v>
      </c>
      <c r="T505" t="s">
        <v>35</v>
      </c>
      <c r="U505">
        <v>1</v>
      </c>
      <c r="V505">
        <v>30</v>
      </c>
      <c r="W505">
        <v>90</v>
      </c>
      <c r="X505">
        <v>15</v>
      </c>
      <c r="Y505">
        <v>76.5</v>
      </c>
      <c r="Z505">
        <v>46.5</v>
      </c>
      <c r="AA505" t="s">
        <v>17</v>
      </c>
      <c r="AB505" t="s">
        <v>44</v>
      </c>
      <c r="AC505">
        <v>4</v>
      </c>
      <c r="AD505" t="s">
        <v>19</v>
      </c>
      <c r="AE505" t="s">
        <v>20</v>
      </c>
      <c r="AF505" t="str">
        <f t="shared" si="15"/>
        <v>Yes</v>
      </c>
    </row>
    <row r="506" spans="1:32" x14ac:dyDescent="0.3">
      <c r="A506" t="s">
        <v>1042</v>
      </c>
      <c r="B506" s="1">
        <v>45676</v>
      </c>
      <c r="C506" t="s">
        <v>388</v>
      </c>
      <c r="D506">
        <f t="shared" si="14"/>
        <v>19</v>
      </c>
      <c r="E506" t="s">
        <v>2</v>
      </c>
      <c r="F506" t="s">
        <v>3</v>
      </c>
      <c r="G506" t="s">
        <v>4</v>
      </c>
      <c r="H506" t="s">
        <v>164</v>
      </c>
      <c r="I506" t="s">
        <v>165</v>
      </c>
      <c r="J506" t="s">
        <v>166</v>
      </c>
      <c r="K506" t="s">
        <v>318</v>
      </c>
      <c r="L506" t="s">
        <v>1043</v>
      </c>
      <c r="M506" t="s">
        <v>29</v>
      </c>
      <c r="N506" t="s">
        <v>11</v>
      </c>
      <c r="O506">
        <v>21</v>
      </c>
      <c r="P506" t="s">
        <v>31</v>
      </c>
      <c r="Q506" t="s">
        <v>272</v>
      </c>
      <c r="R506" t="s">
        <v>273</v>
      </c>
      <c r="S506" t="s">
        <v>57</v>
      </c>
      <c r="T506" t="s">
        <v>16</v>
      </c>
      <c r="U506">
        <v>1</v>
      </c>
      <c r="V506">
        <v>55</v>
      </c>
      <c r="W506">
        <v>154</v>
      </c>
      <c r="X506">
        <v>15</v>
      </c>
      <c r="Y506">
        <v>130.9</v>
      </c>
      <c r="Z506">
        <v>75.900000000000006</v>
      </c>
      <c r="AA506" t="s">
        <v>36</v>
      </c>
      <c r="AB506" t="s">
        <v>87</v>
      </c>
      <c r="AC506">
        <v>4</v>
      </c>
      <c r="AD506" t="s">
        <v>19</v>
      </c>
      <c r="AE506" t="s">
        <v>20</v>
      </c>
      <c r="AF506" t="str">
        <f t="shared" si="15"/>
        <v>Yes</v>
      </c>
    </row>
    <row r="507" spans="1:32" x14ac:dyDescent="0.3">
      <c r="A507" t="s">
        <v>1044</v>
      </c>
      <c r="B507" s="1">
        <v>45794</v>
      </c>
      <c r="C507" t="s">
        <v>244</v>
      </c>
      <c r="D507">
        <f t="shared" si="14"/>
        <v>20</v>
      </c>
      <c r="E507" t="s">
        <v>47</v>
      </c>
      <c r="F507" t="s">
        <v>48</v>
      </c>
      <c r="G507" t="s">
        <v>132</v>
      </c>
      <c r="H507" t="s">
        <v>81</v>
      </c>
      <c r="I507" t="s">
        <v>82</v>
      </c>
      <c r="J507" t="s">
        <v>7</v>
      </c>
      <c r="K507" t="s">
        <v>323</v>
      </c>
      <c r="L507" t="s">
        <v>1041</v>
      </c>
      <c r="M507" t="s">
        <v>10</v>
      </c>
      <c r="N507" t="s">
        <v>30</v>
      </c>
      <c r="O507">
        <v>34</v>
      </c>
      <c r="P507" t="s">
        <v>12</v>
      </c>
      <c r="Q507" t="s">
        <v>291</v>
      </c>
      <c r="R507" t="s">
        <v>292</v>
      </c>
      <c r="S507" t="s">
        <v>242</v>
      </c>
      <c r="T507" t="s">
        <v>16</v>
      </c>
      <c r="U507">
        <v>4</v>
      </c>
      <c r="V507">
        <v>68</v>
      </c>
      <c r="W507">
        <v>204</v>
      </c>
      <c r="X507">
        <v>15</v>
      </c>
      <c r="Y507">
        <v>693.6</v>
      </c>
      <c r="Z507">
        <v>421.6</v>
      </c>
      <c r="AA507" t="s">
        <v>36</v>
      </c>
      <c r="AB507" t="s">
        <v>44</v>
      </c>
      <c r="AC507">
        <v>4</v>
      </c>
      <c r="AD507" t="s">
        <v>105</v>
      </c>
      <c r="AE507" t="s">
        <v>20</v>
      </c>
      <c r="AF507" t="str">
        <f t="shared" si="15"/>
        <v>Yes</v>
      </c>
    </row>
    <row r="508" spans="1:32" x14ac:dyDescent="0.3">
      <c r="A508" t="s">
        <v>1045</v>
      </c>
      <c r="B508" s="1">
        <v>45727</v>
      </c>
      <c r="C508" t="s">
        <v>46</v>
      </c>
      <c r="D508">
        <f t="shared" si="14"/>
        <v>19</v>
      </c>
      <c r="E508" t="s">
        <v>72</v>
      </c>
      <c r="F508" t="s">
        <v>3</v>
      </c>
      <c r="G508" t="s">
        <v>181</v>
      </c>
      <c r="H508" t="s">
        <v>99</v>
      </c>
      <c r="I508" t="s">
        <v>100</v>
      </c>
      <c r="J508" t="s">
        <v>101</v>
      </c>
      <c r="K508" t="s">
        <v>270</v>
      </c>
      <c r="L508" t="s">
        <v>1046</v>
      </c>
      <c r="M508" t="s">
        <v>261</v>
      </c>
      <c r="N508" t="s">
        <v>11</v>
      </c>
      <c r="O508">
        <v>55</v>
      </c>
      <c r="P508" t="s">
        <v>31</v>
      </c>
      <c r="Q508" t="s">
        <v>141</v>
      </c>
      <c r="R508" t="s">
        <v>142</v>
      </c>
      <c r="S508" t="s">
        <v>111</v>
      </c>
      <c r="T508" t="s">
        <v>16</v>
      </c>
      <c r="U508">
        <v>4</v>
      </c>
      <c r="V508">
        <v>35</v>
      </c>
      <c r="W508">
        <v>77</v>
      </c>
      <c r="X508">
        <v>15</v>
      </c>
      <c r="Y508">
        <v>261.8</v>
      </c>
      <c r="Z508">
        <v>121.8</v>
      </c>
      <c r="AA508" t="s">
        <v>17</v>
      </c>
      <c r="AB508" t="s">
        <v>119</v>
      </c>
      <c r="AD508" t="s">
        <v>19</v>
      </c>
      <c r="AE508" t="s">
        <v>20</v>
      </c>
      <c r="AF508" t="str">
        <f t="shared" si="15"/>
        <v>Yes</v>
      </c>
    </row>
    <row r="509" spans="1:32" x14ac:dyDescent="0.3">
      <c r="A509" t="s">
        <v>1047</v>
      </c>
      <c r="B509" s="1">
        <v>45696</v>
      </c>
      <c r="C509" t="s">
        <v>537</v>
      </c>
      <c r="D509">
        <f t="shared" si="14"/>
        <v>8</v>
      </c>
      <c r="E509" t="s">
        <v>145</v>
      </c>
      <c r="F509" t="s">
        <v>3</v>
      </c>
      <c r="G509" t="s">
        <v>132</v>
      </c>
      <c r="H509" t="s">
        <v>99</v>
      </c>
      <c r="I509" t="s">
        <v>100</v>
      </c>
      <c r="J509" t="s">
        <v>101</v>
      </c>
      <c r="K509" t="s">
        <v>41</v>
      </c>
      <c r="L509" t="s">
        <v>1048</v>
      </c>
      <c r="M509" t="s">
        <v>10</v>
      </c>
      <c r="N509" t="s">
        <v>11</v>
      </c>
      <c r="O509">
        <v>53</v>
      </c>
      <c r="P509" t="s">
        <v>54</v>
      </c>
      <c r="Q509" t="s">
        <v>134</v>
      </c>
      <c r="R509" t="s">
        <v>135</v>
      </c>
      <c r="S509" t="s">
        <v>136</v>
      </c>
      <c r="T509" t="s">
        <v>35</v>
      </c>
      <c r="U509">
        <v>2</v>
      </c>
      <c r="V509">
        <v>20</v>
      </c>
      <c r="W509">
        <v>60</v>
      </c>
      <c r="X509">
        <v>15</v>
      </c>
      <c r="Y509">
        <v>102</v>
      </c>
      <c r="Z509">
        <v>62</v>
      </c>
      <c r="AA509" t="s">
        <v>17</v>
      </c>
      <c r="AB509" t="s">
        <v>119</v>
      </c>
      <c r="AC509">
        <v>4</v>
      </c>
      <c r="AD509" t="s">
        <v>19</v>
      </c>
      <c r="AE509" t="s">
        <v>20</v>
      </c>
      <c r="AF509" t="str">
        <f t="shared" si="15"/>
        <v>Yes</v>
      </c>
    </row>
    <row r="510" spans="1:32" x14ac:dyDescent="0.3">
      <c r="A510" t="s">
        <v>1049</v>
      </c>
      <c r="B510" s="1">
        <v>45818</v>
      </c>
      <c r="C510" t="s">
        <v>97</v>
      </c>
      <c r="D510">
        <f t="shared" si="14"/>
        <v>7</v>
      </c>
      <c r="E510" t="s">
        <v>131</v>
      </c>
      <c r="F510" t="s">
        <v>48</v>
      </c>
      <c r="G510" t="s">
        <v>181</v>
      </c>
      <c r="H510" t="s">
        <v>61</v>
      </c>
      <c r="I510" t="s">
        <v>62</v>
      </c>
      <c r="J510" t="s">
        <v>7</v>
      </c>
      <c r="K510" t="s">
        <v>167</v>
      </c>
      <c r="L510" t="s">
        <v>946</v>
      </c>
      <c r="M510" t="s">
        <v>225</v>
      </c>
      <c r="N510" t="s">
        <v>11</v>
      </c>
      <c r="O510">
        <v>35</v>
      </c>
      <c r="P510" t="s">
        <v>31</v>
      </c>
      <c r="Q510" t="s">
        <v>327</v>
      </c>
      <c r="R510" t="s">
        <v>328</v>
      </c>
      <c r="S510" t="s">
        <v>136</v>
      </c>
      <c r="T510" t="s">
        <v>16</v>
      </c>
      <c r="U510">
        <v>3</v>
      </c>
      <c r="V510">
        <v>73</v>
      </c>
      <c r="W510">
        <v>160.6</v>
      </c>
      <c r="X510">
        <v>15</v>
      </c>
      <c r="Y510">
        <v>409.53</v>
      </c>
      <c r="Z510">
        <v>190.53</v>
      </c>
      <c r="AA510" t="s">
        <v>43</v>
      </c>
      <c r="AB510" t="s">
        <v>44</v>
      </c>
      <c r="AC510">
        <v>3</v>
      </c>
      <c r="AD510" t="s">
        <v>19</v>
      </c>
      <c r="AE510" t="s">
        <v>20</v>
      </c>
      <c r="AF510" t="str">
        <f t="shared" si="15"/>
        <v>Yes</v>
      </c>
    </row>
    <row r="511" spans="1:32" x14ac:dyDescent="0.3">
      <c r="A511" t="s">
        <v>1050</v>
      </c>
      <c r="B511" s="1">
        <v>45700</v>
      </c>
      <c r="C511" t="s">
        <v>420</v>
      </c>
      <c r="D511">
        <f t="shared" si="14"/>
        <v>21</v>
      </c>
      <c r="E511" t="s">
        <v>145</v>
      </c>
      <c r="F511" t="s">
        <v>3</v>
      </c>
      <c r="G511" t="s">
        <v>73</v>
      </c>
      <c r="H511" t="s">
        <v>49</v>
      </c>
      <c r="I511" t="s">
        <v>50</v>
      </c>
      <c r="J511" t="s">
        <v>7</v>
      </c>
      <c r="K511" t="s">
        <v>146</v>
      </c>
      <c r="L511" t="s">
        <v>559</v>
      </c>
      <c r="M511" t="s">
        <v>162</v>
      </c>
      <c r="N511" t="s">
        <v>30</v>
      </c>
      <c r="O511">
        <v>53</v>
      </c>
      <c r="P511" t="s">
        <v>31</v>
      </c>
      <c r="Q511" t="s">
        <v>280</v>
      </c>
      <c r="R511" t="s">
        <v>281</v>
      </c>
      <c r="S511" t="s">
        <v>218</v>
      </c>
      <c r="T511" t="s">
        <v>16</v>
      </c>
      <c r="U511">
        <v>2</v>
      </c>
      <c r="V511">
        <v>34</v>
      </c>
      <c r="W511">
        <v>74.8</v>
      </c>
      <c r="X511">
        <v>10</v>
      </c>
      <c r="Y511">
        <v>134.63999999999999</v>
      </c>
      <c r="Z511">
        <v>66.64</v>
      </c>
      <c r="AA511" t="s">
        <v>36</v>
      </c>
      <c r="AB511" t="s">
        <v>44</v>
      </c>
      <c r="AC511">
        <v>3</v>
      </c>
      <c r="AD511" t="s">
        <v>105</v>
      </c>
      <c r="AE511" t="s">
        <v>95</v>
      </c>
      <c r="AF511" t="str">
        <f t="shared" si="15"/>
        <v>No</v>
      </c>
    </row>
    <row r="512" spans="1:32" x14ac:dyDescent="0.3">
      <c r="A512" t="s">
        <v>1051</v>
      </c>
      <c r="B512" s="1">
        <v>45827</v>
      </c>
      <c r="C512" t="s">
        <v>351</v>
      </c>
      <c r="D512">
        <f t="shared" si="14"/>
        <v>9</v>
      </c>
      <c r="E512" t="s">
        <v>131</v>
      </c>
      <c r="F512" t="s">
        <v>48</v>
      </c>
      <c r="G512" t="s">
        <v>98</v>
      </c>
      <c r="H512" t="s">
        <v>81</v>
      </c>
      <c r="I512" t="s">
        <v>82</v>
      </c>
      <c r="J512" t="s">
        <v>7</v>
      </c>
      <c r="K512" t="s">
        <v>352</v>
      </c>
      <c r="L512" t="s">
        <v>1052</v>
      </c>
      <c r="M512" t="s">
        <v>10</v>
      </c>
      <c r="N512" t="s">
        <v>11</v>
      </c>
      <c r="O512">
        <v>35</v>
      </c>
      <c r="P512" t="s">
        <v>91</v>
      </c>
      <c r="Q512" t="s">
        <v>272</v>
      </c>
      <c r="R512" t="s">
        <v>273</v>
      </c>
      <c r="S512" t="s">
        <v>57</v>
      </c>
      <c r="T512" t="s">
        <v>16</v>
      </c>
      <c r="U512">
        <v>1</v>
      </c>
      <c r="V512">
        <v>55</v>
      </c>
      <c r="W512">
        <v>154</v>
      </c>
      <c r="X512">
        <v>5</v>
      </c>
      <c r="Y512">
        <v>146.30000000000001</v>
      </c>
      <c r="Z512">
        <v>91.3</v>
      </c>
      <c r="AA512" t="s">
        <v>43</v>
      </c>
      <c r="AB512" t="s">
        <v>18</v>
      </c>
      <c r="AC512">
        <v>3</v>
      </c>
      <c r="AD512" t="s">
        <v>105</v>
      </c>
      <c r="AE512" t="s">
        <v>20</v>
      </c>
      <c r="AF512" t="str">
        <f t="shared" si="15"/>
        <v>Yes</v>
      </c>
    </row>
    <row r="513" spans="1:32" x14ac:dyDescent="0.3">
      <c r="A513" t="s">
        <v>1053</v>
      </c>
      <c r="B513" s="1">
        <v>45792</v>
      </c>
      <c r="C513" t="s">
        <v>244</v>
      </c>
      <c r="D513">
        <f t="shared" si="14"/>
        <v>20</v>
      </c>
      <c r="E513" t="s">
        <v>47</v>
      </c>
      <c r="F513" t="s">
        <v>48</v>
      </c>
      <c r="G513" t="s">
        <v>98</v>
      </c>
      <c r="H513" t="s">
        <v>159</v>
      </c>
      <c r="I513" t="s">
        <v>160</v>
      </c>
      <c r="J513" t="s">
        <v>161</v>
      </c>
      <c r="K513" t="s">
        <v>63</v>
      </c>
      <c r="L513" t="s">
        <v>1054</v>
      </c>
      <c r="M513" t="s">
        <v>184</v>
      </c>
      <c r="N513" t="s">
        <v>11</v>
      </c>
      <c r="O513">
        <v>41</v>
      </c>
      <c r="P513" t="s">
        <v>12</v>
      </c>
      <c r="Q513" t="s">
        <v>240</v>
      </c>
      <c r="R513" t="s">
        <v>241</v>
      </c>
      <c r="S513" t="s">
        <v>242</v>
      </c>
      <c r="T513" t="s">
        <v>35</v>
      </c>
      <c r="U513">
        <v>2</v>
      </c>
      <c r="V513">
        <v>89</v>
      </c>
      <c r="W513">
        <v>267</v>
      </c>
      <c r="X513">
        <v>5</v>
      </c>
      <c r="Y513">
        <v>507.3</v>
      </c>
      <c r="Z513">
        <v>329.3</v>
      </c>
      <c r="AA513" t="s">
        <v>36</v>
      </c>
      <c r="AB513" t="s">
        <v>119</v>
      </c>
      <c r="AD513" t="s">
        <v>105</v>
      </c>
      <c r="AE513" t="s">
        <v>20</v>
      </c>
      <c r="AF513" t="str">
        <f t="shared" si="15"/>
        <v>Yes</v>
      </c>
    </row>
    <row r="514" spans="1:32" x14ac:dyDescent="0.3">
      <c r="A514" t="s">
        <v>1055</v>
      </c>
      <c r="B514" s="1">
        <v>45664</v>
      </c>
      <c r="C514" t="s">
        <v>399</v>
      </c>
      <c r="D514">
        <f t="shared" ref="D514:D577" si="16">HOUR(C514)</f>
        <v>20</v>
      </c>
      <c r="E514" t="s">
        <v>2</v>
      </c>
      <c r="F514" t="s">
        <v>3</v>
      </c>
      <c r="G514" t="s">
        <v>181</v>
      </c>
      <c r="H514" t="s">
        <v>99</v>
      </c>
      <c r="I514" t="s">
        <v>100</v>
      </c>
      <c r="J514" t="s">
        <v>101</v>
      </c>
      <c r="K514" t="s">
        <v>352</v>
      </c>
      <c r="L514" t="s">
        <v>52</v>
      </c>
      <c r="M514" t="s">
        <v>29</v>
      </c>
      <c r="N514" t="s">
        <v>30</v>
      </c>
      <c r="O514">
        <v>52</v>
      </c>
      <c r="P514" t="s">
        <v>12</v>
      </c>
      <c r="Q514" t="s">
        <v>506</v>
      </c>
      <c r="R514" t="s">
        <v>507</v>
      </c>
      <c r="S514" t="s">
        <v>118</v>
      </c>
      <c r="T514" t="s">
        <v>16</v>
      </c>
      <c r="U514">
        <v>3</v>
      </c>
      <c r="V514">
        <v>39</v>
      </c>
      <c r="W514">
        <v>109.2</v>
      </c>
      <c r="X514">
        <v>5</v>
      </c>
      <c r="Y514">
        <v>311.22000000000003</v>
      </c>
      <c r="Z514">
        <v>194.22</v>
      </c>
      <c r="AA514" t="s">
        <v>17</v>
      </c>
      <c r="AB514" t="s">
        <v>87</v>
      </c>
      <c r="AC514">
        <v>4</v>
      </c>
      <c r="AD514" t="s">
        <v>19</v>
      </c>
      <c r="AE514" t="s">
        <v>20</v>
      </c>
      <c r="AF514" t="str">
        <f t="shared" si="15"/>
        <v>Yes</v>
      </c>
    </row>
    <row r="515" spans="1:32" x14ac:dyDescent="0.3">
      <c r="A515" t="s">
        <v>1056</v>
      </c>
      <c r="B515" s="1">
        <v>45675</v>
      </c>
      <c r="C515" t="s">
        <v>265</v>
      </c>
      <c r="D515">
        <f t="shared" si="16"/>
        <v>7</v>
      </c>
      <c r="E515" t="s">
        <v>2</v>
      </c>
      <c r="F515" t="s">
        <v>3</v>
      </c>
      <c r="G515" t="s">
        <v>132</v>
      </c>
      <c r="H515" t="s">
        <v>164</v>
      </c>
      <c r="I515" t="s">
        <v>165</v>
      </c>
      <c r="J515" t="s">
        <v>166</v>
      </c>
      <c r="K515" t="s">
        <v>114</v>
      </c>
      <c r="L515" t="s">
        <v>343</v>
      </c>
      <c r="M515" t="s">
        <v>184</v>
      </c>
      <c r="N515" t="s">
        <v>11</v>
      </c>
      <c r="O515">
        <v>25</v>
      </c>
      <c r="P515" t="s">
        <v>12</v>
      </c>
      <c r="Q515" t="s">
        <v>66</v>
      </c>
      <c r="R515" t="s">
        <v>67</v>
      </c>
      <c r="S515" t="s">
        <v>68</v>
      </c>
      <c r="T515" t="s">
        <v>16</v>
      </c>
      <c r="U515">
        <v>2</v>
      </c>
      <c r="V515">
        <v>43</v>
      </c>
      <c r="W515">
        <v>120.4</v>
      </c>
      <c r="X515">
        <v>15</v>
      </c>
      <c r="Y515">
        <v>204.68</v>
      </c>
      <c r="Z515">
        <v>118.68</v>
      </c>
      <c r="AA515" t="s">
        <v>69</v>
      </c>
      <c r="AB515" t="s">
        <v>18</v>
      </c>
      <c r="AC515">
        <v>4</v>
      </c>
      <c r="AD515" t="s">
        <v>105</v>
      </c>
      <c r="AE515" t="s">
        <v>20</v>
      </c>
      <c r="AF515" t="str">
        <f t="shared" si="15"/>
        <v>Yes</v>
      </c>
    </row>
    <row r="516" spans="1:32" x14ac:dyDescent="0.3">
      <c r="A516" t="s">
        <v>1057</v>
      </c>
      <c r="B516" s="1">
        <v>45803</v>
      </c>
      <c r="C516" t="s">
        <v>22</v>
      </c>
      <c r="D516">
        <f t="shared" si="16"/>
        <v>7</v>
      </c>
      <c r="E516" t="s">
        <v>47</v>
      </c>
      <c r="F516" t="s">
        <v>48</v>
      </c>
      <c r="G516" t="s">
        <v>23</v>
      </c>
      <c r="H516" t="s">
        <v>49</v>
      </c>
      <c r="I516" t="s">
        <v>50</v>
      </c>
      <c r="J516" t="s">
        <v>7</v>
      </c>
      <c r="K516" t="s">
        <v>27</v>
      </c>
      <c r="L516" t="s">
        <v>369</v>
      </c>
      <c r="M516" t="s">
        <v>10</v>
      </c>
      <c r="N516" t="s">
        <v>30</v>
      </c>
      <c r="O516">
        <v>53</v>
      </c>
      <c r="P516" t="s">
        <v>12</v>
      </c>
      <c r="Q516" t="s">
        <v>193</v>
      </c>
      <c r="R516" t="s">
        <v>194</v>
      </c>
      <c r="S516" t="s">
        <v>172</v>
      </c>
      <c r="T516" t="s">
        <v>35</v>
      </c>
      <c r="U516">
        <v>3</v>
      </c>
      <c r="V516">
        <v>35</v>
      </c>
      <c r="W516">
        <v>87.5</v>
      </c>
      <c r="X516">
        <v>10</v>
      </c>
      <c r="Y516">
        <v>236.25</v>
      </c>
      <c r="Z516">
        <v>131.25</v>
      </c>
      <c r="AA516" t="s">
        <v>17</v>
      </c>
      <c r="AB516" t="s">
        <v>129</v>
      </c>
      <c r="AC516">
        <v>5</v>
      </c>
      <c r="AD516" t="s">
        <v>105</v>
      </c>
      <c r="AE516" t="s">
        <v>20</v>
      </c>
      <c r="AF516" t="str">
        <f t="shared" ref="AF516:AF579" si="17">IF(AE516="Completed","Yes",IF(AE516="Cancelled","No","Review"))</f>
        <v>Yes</v>
      </c>
    </row>
    <row r="517" spans="1:32" x14ac:dyDescent="0.3">
      <c r="A517" t="s">
        <v>1058</v>
      </c>
      <c r="B517" s="1">
        <v>45709</v>
      </c>
      <c r="C517" t="s">
        <v>1</v>
      </c>
      <c r="D517">
        <f t="shared" si="16"/>
        <v>19</v>
      </c>
      <c r="E517" t="s">
        <v>145</v>
      </c>
      <c r="F517" t="s">
        <v>3</v>
      </c>
      <c r="G517" t="s">
        <v>40</v>
      </c>
      <c r="H517" t="s">
        <v>24</v>
      </c>
      <c r="I517" t="s">
        <v>25</v>
      </c>
      <c r="J517" t="s">
        <v>26</v>
      </c>
      <c r="K517" t="s">
        <v>63</v>
      </c>
      <c r="L517" t="s">
        <v>801</v>
      </c>
      <c r="M517" t="s">
        <v>65</v>
      </c>
      <c r="N517" t="s">
        <v>11</v>
      </c>
      <c r="O517">
        <v>61</v>
      </c>
      <c r="P517" t="s">
        <v>91</v>
      </c>
      <c r="Q517" t="s">
        <v>235</v>
      </c>
      <c r="R517" t="s">
        <v>236</v>
      </c>
      <c r="S517" t="s">
        <v>237</v>
      </c>
      <c r="T517" t="s">
        <v>35</v>
      </c>
      <c r="U517">
        <v>4</v>
      </c>
      <c r="V517">
        <v>22</v>
      </c>
      <c r="W517">
        <v>61.6</v>
      </c>
      <c r="X517">
        <v>10</v>
      </c>
      <c r="Y517">
        <v>221.76</v>
      </c>
      <c r="Z517">
        <v>133.76</v>
      </c>
      <c r="AA517" t="s">
        <v>17</v>
      </c>
      <c r="AB517" t="s">
        <v>37</v>
      </c>
      <c r="AD517" t="s">
        <v>19</v>
      </c>
      <c r="AE517" t="s">
        <v>20</v>
      </c>
      <c r="AF517" t="str">
        <f t="shared" si="17"/>
        <v>Yes</v>
      </c>
    </row>
    <row r="518" spans="1:32" x14ac:dyDescent="0.3">
      <c r="A518" t="s">
        <v>1059</v>
      </c>
      <c r="B518" s="1">
        <v>45826</v>
      </c>
      <c r="C518" t="s">
        <v>1</v>
      </c>
      <c r="D518">
        <f t="shared" si="16"/>
        <v>19</v>
      </c>
      <c r="E518" t="s">
        <v>131</v>
      </c>
      <c r="F518" t="s">
        <v>48</v>
      </c>
      <c r="G518" t="s">
        <v>73</v>
      </c>
      <c r="H518" t="s">
        <v>24</v>
      </c>
      <c r="I518" t="s">
        <v>25</v>
      </c>
      <c r="J518" t="s">
        <v>26</v>
      </c>
      <c r="K518" t="s">
        <v>8</v>
      </c>
      <c r="L518" t="s">
        <v>1060</v>
      </c>
      <c r="M518" t="s">
        <v>184</v>
      </c>
      <c r="N518" t="s">
        <v>30</v>
      </c>
      <c r="O518">
        <v>49</v>
      </c>
      <c r="P518" t="s">
        <v>91</v>
      </c>
      <c r="Q518" t="s">
        <v>226</v>
      </c>
      <c r="R518" t="s">
        <v>227</v>
      </c>
      <c r="S518" t="s">
        <v>68</v>
      </c>
      <c r="T518" t="s">
        <v>35</v>
      </c>
      <c r="U518">
        <v>1</v>
      </c>
      <c r="V518">
        <v>43</v>
      </c>
      <c r="W518">
        <v>94.6</v>
      </c>
      <c r="X518">
        <v>5</v>
      </c>
      <c r="Y518">
        <v>89.87</v>
      </c>
      <c r="Z518">
        <v>46.87</v>
      </c>
      <c r="AA518" t="s">
        <v>69</v>
      </c>
      <c r="AB518" t="s">
        <v>18</v>
      </c>
      <c r="AC518">
        <v>4</v>
      </c>
      <c r="AD518" t="s">
        <v>19</v>
      </c>
      <c r="AE518" t="s">
        <v>20</v>
      </c>
      <c r="AF518" t="str">
        <f t="shared" si="17"/>
        <v>Yes</v>
      </c>
    </row>
    <row r="519" spans="1:32" x14ac:dyDescent="0.3">
      <c r="A519" t="s">
        <v>1061</v>
      </c>
      <c r="B519" s="1">
        <v>45810</v>
      </c>
      <c r="C519" t="s">
        <v>543</v>
      </c>
      <c r="D519">
        <f t="shared" si="16"/>
        <v>15</v>
      </c>
      <c r="E519" t="s">
        <v>131</v>
      </c>
      <c r="F519" t="s">
        <v>48</v>
      </c>
      <c r="G519" t="s">
        <v>23</v>
      </c>
      <c r="H519" t="s">
        <v>99</v>
      </c>
      <c r="I519" t="s">
        <v>100</v>
      </c>
      <c r="J519" t="s">
        <v>101</v>
      </c>
      <c r="K519" t="s">
        <v>138</v>
      </c>
      <c r="L519" t="s">
        <v>617</v>
      </c>
      <c r="M519" t="s">
        <v>65</v>
      </c>
      <c r="N519" t="s">
        <v>30</v>
      </c>
      <c r="O519">
        <v>47</v>
      </c>
      <c r="P519" t="s">
        <v>31</v>
      </c>
      <c r="Q519" t="s">
        <v>193</v>
      </c>
      <c r="R519" t="s">
        <v>194</v>
      </c>
      <c r="S519" t="s">
        <v>172</v>
      </c>
      <c r="T519" t="s">
        <v>35</v>
      </c>
      <c r="U519">
        <v>4</v>
      </c>
      <c r="V519">
        <v>35</v>
      </c>
      <c r="W519">
        <v>87.5</v>
      </c>
      <c r="X519">
        <v>10</v>
      </c>
      <c r="Y519">
        <v>315</v>
      </c>
      <c r="Z519">
        <v>175</v>
      </c>
      <c r="AA519" t="s">
        <v>69</v>
      </c>
      <c r="AB519" t="s">
        <v>129</v>
      </c>
      <c r="AC519">
        <v>4</v>
      </c>
      <c r="AD519" t="s">
        <v>19</v>
      </c>
      <c r="AE519" t="s">
        <v>20</v>
      </c>
      <c r="AF519" t="str">
        <f t="shared" si="17"/>
        <v>Yes</v>
      </c>
    </row>
    <row r="520" spans="1:32" x14ac:dyDescent="0.3">
      <c r="A520" t="s">
        <v>1062</v>
      </c>
      <c r="B520" s="1">
        <v>45802</v>
      </c>
      <c r="C520" t="s">
        <v>351</v>
      </c>
      <c r="D520">
        <f t="shared" si="16"/>
        <v>9</v>
      </c>
      <c r="E520" t="s">
        <v>47</v>
      </c>
      <c r="F520" t="s">
        <v>48</v>
      </c>
      <c r="G520" t="s">
        <v>4</v>
      </c>
      <c r="H520" t="s">
        <v>159</v>
      </c>
      <c r="I520" t="s">
        <v>160</v>
      </c>
      <c r="J520" t="s">
        <v>161</v>
      </c>
      <c r="K520" t="s">
        <v>311</v>
      </c>
      <c r="L520" t="s">
        <v>724</v>
      </c>
      <c r="M520" t="s">
        <v>53</v>
      </c>
      <c r="N520" t="s">
        <v>11</v>
      </c>
      <c r="O520">
        <v>61</v>
      </c>
      <c r="P520" t="s">
        <v>31</v>
      </c>
      <c r="Q520" t="s">
        <v>204</v>
      </c>
      <c r="R520" t="s">
        <v>205</v>
      </c>
      <c r="S520" t="s">
        <v>118</v>
      </c>
      <c r="T520" t="s">
        <v>35</v>
      </c>
      <c r="U520">
        <v>3</v>
      </c>
      <c r="V520">
        <v>59</v>
      </c>
      <c r="W520">
        <v>177</v>
      </c>
      <c r="X520">
        <v>10</v>
      </c>
      <c r="Y520">
        <v>477.9</v>
      </c>
      <c r="Z520">
        <v>300.89999999999998</v>
      </c>
      <c r="AA520" t="s">
        <v>69</v>
      </c>
      <c r="AB520" t="s">
        <v>119</v>
      </c>
      <c r="AC520">
        <v>5</v>
      </c>
      <c r="AD520" t="s">
        <v>105</v>
      </c>
      <c r="AE520" t="s">
        <v>20</v>
      </c>
      <c r="AF520" t="str">
        <f t="shared" si="17"/>
        <v>Yes</v>
      </c>
    </row>
    <row r="521" spans="1:32" x14ac:dyDescent="0.3">
      <c r="A521" t="s">
        <v>1063</v>
      </c>
      <c r="B521" s="1">
        <v>45703</v>
      </c>
      <c r="C521" t="s">
        <v>189</v>
      </c>
      <c r="D521">
        <f t="shared" si="16"/>
        <v>9</v>
      </c>
      <c r="E521" t="s">
        <v>145</v>
      </c>
      <c r="F521" t="s">
        <v>3</v>
      </c>
      <c r="G521" t="s">
        <v>132</v>
      </c>
      <c r="H521" t="s">
        <v>159</v>
      </c>
      <c r="I521" t="s">
        <v>160</v>
      </c>
      <c r="J521" t="s">
        <v>161</v>
      </c>
      <c r="K521" t="s">
        <v>41</v>
      </c>
      <c r="L521" t="s">
        <v>1043</v>
      </c>
      <c r="M521" t="s">
        <v>162</v>
      </c>
      <c r="N521" t="s">
        <v>30</v>
      </c>
      <c r="O521">
        <v>21</v>
      </c>
      <c r="P521" t="s">
        <v>76</v>
      </c>
      <c r="Q521" t="s">
        <v>92</v>
      </c>
      <c r="R521" t="s">
        <v>93</v>
      </c>
      <c r="S521" t="s">
        <v>94</v>
      </c>
      <c r="T521" t="s">
        <v>16</v>
      </c>
      <c r="U521">
        <v>2</v>
      </c>
      <c r="V521">
        <v>85</v>
      </c>
      <c r="W521">
        <v>255</v>
      </c>
      <c r="X521">
        <v>15</v>
      </c>
      <c r="Y521">
        <v>433.5</v>
      </c>
      <c r="Z521">
        <v>263.5</v>
      </c>
      <c r="AA521" t="s">
        <v>69</v>
      </c>
      <c r="AB521" t="s">
        <v>44</v>
      </c>
      <c r="AC521">
        <v>3</v>
      </c>
      <c r="AD521" t="s">
        <v>105</v>
      </c>
      <c r="AE521" t="s">
        <v>20</v>
      </c>
      <c r="AF521" t="str">
        <f t="shared" si="17"/>
        <v>Yes</v>
      </c>
    </row>
    <row r="522" spans="1:32" x14ac:dyDescent="0.3">
      <c r="A522" t="s">
        <v>1064</v>
      </c>
      <c r="B522" s="1">
        <v>45766</v>
      </c>
      <c r="C522" t="s">
        <v>322</v>
      </c>
      <c r="D522">
        <f t="shared" si="16"/>
        <v>10</v>
      </c>
      <c r="E522" t="s">
        <v>60</v>
      </c>
      <c r="F522" t="s">
        <v>48</v>
      </c>
      <c r="G522" t="s">
        <v>132</v>
      </c>
      <c r="H522" t="s">
        <v>99</v>
      </c>
      <c r="I522" t="s">
        <v>100</v>
      </c>
      <c r="J522" t="s">
        <v>101</v>
      </c>
      <c r="K522" t="s">
        <v>229</v>
      </c>
      <c r="L522" t="s">
        <v>1065</v>
      </c>
      <c r="M522" t="s">
        <v>169</v>
      </c>
      <c r="N522" t="s">
        <v>11</v>
      </c>
      <c r="O522">
        <v>24</v>
      </c>
      <c r="P522" t="s">
        <v>91</v>
      </c>
      <c r="Q522" t="s">
        <v>185</v>
      </c>
      <c r="R522" t="s">
        <v>186</v>
      </c>
      <c r="S522" t="s">
        <v>187</v>
      </c>
      <c r="T522" t="s">
        <v>35</v>
      </c>
      <c r="U522">
        <v>2</v>
      </c>
      <c r="V522">
        <v>57</v>
      </c>
      <c r="W522">
        <v>159.6</v>
      </c>
      <c r="X522">
        <v>10</v>
      </c>
      <c r="Y522">
        <v>287.27999999999997</v>
      </c>
      <c r="Z522">
        <v>173.28</v>
      </c>
      <c r="AA522" t="s">
        <v>36</v>
      </c>
      <c r="AB522" t="s">
        <v>18</v>
      </c>
      <c r="AD522" t="s">
        <v>105</v>
      </c>
      <c r="AE522" t="s">
        <v>20</v>
      </c>
      <c r="AF522" t="str">
        <f t="shared" si="17"/>
        <v>Yes</v>
      </c>
    </row>
    <row r="523" spans="1:32" x14ac:dyDescent="0.3">
      <c r="A523" t="s">
        <v>1066</v>
      </c>
      <c r="B523" s="1">
        <v>45746</v>
      </c>
      <c r="C523" t="s">
        <v>474</v>
      </c>
      <c r="D523">
        <f t="shared" si="16"/>
        <v>12</v>
      </c>
      <c r="E523" t="s">
        <v>72</v>
      </c>
      <c r="F523" t="s">
        <v>3</v>
      </c>
      <c r="G523" t="s">
        <v>4</v>
      </c>
      <c r="H523" t="s">
        <v>99</v>
      </c>
      <c r="I523" t="s">
        <v>100</v>
      </c>
      <c r="J523" t="s">
        <v>101</v>
      </c>
      <c r="K523" t="s">
        <v>107</v>
      </c>
      <c r="L523" t="s">
        <v>530</v>
      </c>
      <c r="M523" t="s">
        <v>225</v>
      </c>
      <c r="N523" t="s">
        <v>30</v>
      </c>
      <c r="O523">
        <v>24</v>
      </c>
      <c r="P523" t="s">
        <v>76</v>
      </c>
      <c r="Q523" t="s">
        <v>55</v>
      </c>
      <c r="R523" t="s">
        <v>56</v>
      </c>
      <c r="S523" t="s">
        <v>57</v>
      </c>
      <c r="T523" t="s">
        <v>35</v>
      </c>
      <c r="U523">
        <v>2</v>
      </c>
      <c r="V523">
        <v>36</v>
      </c>
      <c r="W523">
        <v>79.2</v>
      </c>
      <c r="X523">
        <v>5</v>
      </c>
      <c r="Y523">
        <v>150.47999999999999</v>
      </c>
      <c r="Z523">
        <v>78.48</v>
      </c>
      <c r="AA523" t="s">
        <v>17</v>
      </c>
      <c r="AB523" t="s">
        <v>119</v>
      </c>
      <c r="AC523">
        <v>4</v>
      </c>
      <c r="AD523" t="s">
        <v>19</v>
      </c>
      <c r="AE523" t="s">
        <v>20</v>
      </c>
      <c r="AF523" t="str">
        <f t="shared" si="17"/>
        <v>Yes</v>
      </c>
    </row>
    <row r="524" spans="1:32" x14ac:dyDescent="0.3">
      <c r="A524" t="s">
        <v>1067</v>
      </c>
      <c r="B524" s="1">
        <v>45754</v>
      </c>
      <c r="C524" t="s">
        <v>233</v>
      </c>
      <c r="D524">
        <f t="shared" si="16"/>
        <v>18</v>
      </c>
      <c r="E524" t="s">
        <v>60</v>
      </c>
      <c r="F524" t="s">
        <v>48</v>
      </c>
      <c r="G524" t="s">
        <v>23</v>
      </c>
      <c r="H524" t="s">
        <v>122</v>
      </c>
      <c r="I524" t="s">
        <v>123</v>
      </c>
      <c r="J524" t="s">
        <v>7</v>
      </c>
      <c r="K524" t="s">
        <v>74</v>
      </c>
      <c r="L524" t="s">
        <v>1068</v>
      </c>
      <c r="M524" t="s">
        <v>29</v>
      </c>
      <c r="N524" t="s">
        <v>11</v>
      </c>
      <c r="O524">
        <v>16</v>
      </c>
      <c r="P524" t="s">
        <v>54</v>
      </c>
      <c r="Q524" t="s">
        <v>506</v>
      </c>
      <c r="R524" t="s">
        <v>507</v>
      </c>
      <c r="S524" t="s">
        <v>118</v>
      </c>
      <c r="T524" t="s">
        <v>16</v>
      </c>
      <c r="U524">
        <v>2</v>
      </c>
      <c r="V524">
        <v>39</v>
      </c>
      <c r="W524">
        <v>109.2</v>
      </c>
      <c r="X524">
        <v>0</v>
      </c>
      <c r="Y524">
        <v>218.4</v>
      </c>
      <c r="Z524">
        <v>140.4</v>
      </c>
      <c r="AA524" t="s">
        <v>179</v>
      </c>
      <c r="AB524" t="s">
        <v>87</v>
      </c>
      <c r="AD524" t="s">
        <v>19</v>
      </c>
      <c r="AE524" t="s">
        <v>95</v>
      </c>
      <c r="AF524" t="str">
        <f t="shared" si="17"/>
        <v>No</v>
      </c>
    </row>
    <row r="525" spans="1:32" x14ac:dyDescent="0.3">
      <c r="A525" t="s">
        <v>1069</v>
      </c>
      <c r="B525" s="1">
        <v>45675</v>
      </c>
      <c r="C525" t="s">
        <v>207</v>
      </c>
      <c r="D525">
        <f t="shared" si="16"/>
        <v>20</v>
      </c>
      <c r="E525" t="s">
        <v>2</v>
      </c>
      <c r="F525" t="s">
        <v>3</v>
      </c>
      <c r="G525" t="s">
        <v>132</v>
      </c>
      <c r="H525" t="s">
        <v>150</v>
      </c>
      <c r="I525" t="s">
        <v>151</v>
      </c>
      <c r="J525" t="s">
        <v>152</v>
      </c>
      <c r="K525" t="s">
        <v>245</v>
      </c>
      <c r="L525" t="s">
        <v>1070</v>
      </c>
      <c r="M525" t="s">
        <v>184</v>
      </c>
      <c r="N525" t="s">
        <v>30</v>
      </c>
      <c r="O525">
        <v>31</v>
      </c>
      <c r="P525" t="s">
        <v>54</v>
      </c>
      <c r="Q525" t="s">
        <v>92</v>
      </c>
      <c r="R525" t="s">
        <v>93</v>
      </c>
      <c r="S525" t="s">
        <v>94</v>
      </c>
      <c r="T525" t="s">
        <v>16</v>
      </c>
      <c r="U525">
        <v>4</v>
      </c>
      <c r="V525">
        <v>85</v>
      </c>
      <c r="W525">
        <v>255</v>
      </c>
      <c r="X525">
        <v>15</v>
      </c>
      <c r="Y525">
        <v>867</v>
      </c>
      <c r="Z525">
        <v>527</v>
      </c>
      <c r="AA525" t="s">
        <v>17</v>
      </c>
      <c r="AB525" t="s">
        <v>37</v>
      </c>
      <c r="AC525">
        <v>3</v>
      </c>
      <c r="AD525" t="s">
        <v>19</v>
      </c>
      <c r="AE525" t="s">
        <v>95</v>
      </c>
      <c r="AF525" t="str">
        <f t="shared" si="17"/>
        <v>No</v>
      </c>
    </row>
    <row r="526" spans="1:32" x14ac:dyDescent="0.3">
      <c r="A526" t="s">
        <v>1071</v>
      </c>
      <c r="B526" s="1">
        <v>45785</v>
      </c>
      <c r="C526" t="s">
        <v>349</v>
      </c>
      <c r="D526">
        <f t="shared" si="16"/>
        <v>21</v>
      </c>
      <c r="E526" t="s">
        <v>47</v>
      </c>
      <c r="F526" t="s">
        <v>48</v>
      </c>
      <c r="G526" t="s">
        <v>98</v>
      </c>
      <c r="H526" t="s">
        <v>159</v>
      </c>
      <c r="I526" t="s">
        <v>160</v>
      </c>
      <c r="J526" t="s">
        <v>161</v>
      </c>
      <c r="K526" t="s">
        <v>63</v>
      </c>
      <c r="L526" t="s">
        <v>699</v>
      </c>
      <c r="M526" t="s">
        <v>65</v>
      </c>
      <c r="N526" t="s">
        <v>11</v>
      </c>
      <c r="O526">
        <v>22</v>
      </c>
      <c r="P526" t="s">
        <v>76</v>
      </c>
      <c r="Q526" t="s">
        <v>409</v>
      </c>
      <c r="R526" t="s">
        <v>410</v>
      </c>
      <c r="S526" t="s">
        <v>237</v>
      </c>
      <c r="T526" t="s">
        <v>16</v>
      </c>
      <c r="U526">
        <v>4</v>
      </c>
      <c r="V526">
        <v>26</v>
      </c>
      <c r="W526">
        <v>78</v>
      </c>
      <c r="X526">
        <v>0</v>
      </c>
      <c r="Y526">
        <v>312</v>
      </c>
      <c r="Z526">
        <v>208</v>
      </c>
      <c r="AA526" t="s">
        <v>179</v>
      </c>
      <c r="AB526" t="s">
        <v>119</v>
      </c>
      <c r="AC526">
        <v>3</v>
      </c>
      <c r="AD526" t="s">
        <v>105</v>
      </c>
      <c r="AE526" t="s">
        <v>95</v>
      </c>
      <c r="AF526" t="str">
        <f t="shared" si="17"/>
        <v>No</v>
      </c>
    </row>
    <row r="527" spans="1:32" x14ac:dyDescent="0.3">
      <c r="A527" t="s">
        <v>1072</v>
      </c>
      <c r="B527" s="1">
        <v>45720</v>
      </c>
      <c r="C527" t="s">
        <v>351</v>
      </c>
      <c r="D527">
        <f t="shared" si="16"/>
        <v>9</v>
      </c>
      <c r="E527" t="s">
        <v>72</v>
      </c>
      <c r="F527" t="s">
        <v>3</v>
      </c>
      <c r="G527" t="s">
        <v>181</v>
      </c>
      <c r="H527" t="s">
        <v>5</v>
      </c>
      <c r="I527" t="s">
        <v>6</v>
      </c>
      <c r="J527" t="s">
        <v>7</v>
      </c>
      <c r="K527" t="s">
        <v>83</v>
      </c>
      <c r="L527" t="s">
        <v>271</v>
      </c>
      <c r="M527" t="s">
        <v>261</v>
      </c>
      <c r="N527" t="s">
        <v>11</v>
      </c>
      <c r="O527">
        <v>40</v>
      </c>
      <c r="P527" t="s">
        <v>12</v>
      </c>
      <c r="Q527" t="s">
        <v>518</v>
      </c>
      <c r="R527" t="s">
        <v>519</v>
      </c>
      <c r="S527" t="s">
        <v>242</v>
      </c>
      <c r="T527" t="s">
        <v>35</v>
      </c>
      <c r="U527">
        <v>1</v>
      </c>
      <c r="V527">
        <v>88</v>
      </c>
      <c r="W527">
        <v>193.6</v>
      </c>
      <c r="X527">
        <v>5</v>
      </c>
      <c r="Y527">
        <v>183.92</v>
      </c>
      <c r="Z527">
        <v>95.92</v>
      </c>
      <c r="AA527" t="s">
        <v>17</v>
      </c>
      <c r="AB527" t="s">
        <v>119</v>
      </c>
      <c r="AC527">
        <v>4</v>
      </c>
      <c r="AD527" t="s">
        <v>105</v>
      </c>
      <c r="AE527" t="s">
        <v>20</v>
      </c>
      <c r="AF527" t="str">
        <f t="shared" si="17"/>
        <v>Yes</v>
      </c>
    </row>
    <row r="528" spans="1:32" x14ac:dyDescent="0.3">
      <c r="A528" t="s">
        <v>1073</v>
      </c>
      <c r="B528" s="1">
        <v>45661</v>
      </c>
      <c r="C528" t="s">
        <v>80</v>
      </c>
      <c r="D528">
        <f t="shared" si="16"/>
        <v>10</v>
      </c>
      <c r="E528" t="s">
        <v>2</v>
      </c>
      <c r="F528" t="s">
        <v>3</v>
      </c>
      <c r="G528" t="s">
        <v>132</v>
      </c>
      <c r="H528" t="s">
        <v>61</v>
      </c>
      <c r="I528" t="s">
        <v>62</v>
      </c>
      <c r="J528" t="s">
        <v>7</v>
      </c>
      <c r="K528" t="s">
        <v>346</v>
      </c>
      <c r="L528" t="s">
        <v>608</v>
      </c>
      <c r="M528" t="s">
        <v>184</v>
      </c>
      <c r="N528" t="s">
        <v>11</v>
      </c>
      <c r="O528">
        <v>55</v>
      </c>
      <c r="P528" t="s">
        <v>12</v>
      </c>
      <c r="Q528" t="s">
        <v>211</v>
      </c>
      <c r="R528" t="s">
        <v>212</v>
      </c>
      <c r="S528" t="s">
        <v>128</v>
      </c>
      <c r="T528" t="s">
        <v>16</v>
      </c>
      <c r="U528">
        <v>2</v>
      </c>
      <c r="V528">
        <v>50</v>
      </c>
      <c r="W528">
        <v>140</v>
      </c>
      <c r="X528">
        <v>5</v>
      </c>
      <c r="Y528">
        <v>266</v>
      </c>
      <c r="Z528">
        <v>166</v>
      </c>
      <c r="AA528" t="s">
        <v>36</v>
      </c>
      <c r="AB528" t="s">
        <v>129</v>
      </c>
      <c r="AC528">
        <v>3</v>
      </c>
      <c r="AD528" t="s">
        <v>19</v>
      </c>
      <c r="AE528" t="s">
        <v>20</v>
      </c>
      <c r="AF528" t="str">
        <f t="shared" si="17"/>
        <v>Yes</v>
      </c>
    </row>
    <row r="529" spans="1:32" x14ac:dyDescent="0.3">
      <c r="A529" t="s">
        <v>1074</v>
      </c>
      <c r="B529" s="1">
        <v>45744</v>
      </c>
      <c r="C529" t="s">
        <v>396</v>
      </c>
      <c r="D529">
        <f t="shared" si="16"/>
        <v>16</v>
      </c>
      <c r="E529" t="s">
        <v>72</v>
      </c>
      <c r="F529" t="s">
        <v>3</v>
      </c>
      <c r="G529" t="s">
        <v>40</v>
      </c>
      <c r="H529" t="s">
        <v>49</v>
      </c>
      <c r="I529" t="s">
        <v>50</v>
      </c>
      <c r="J529" t="s">
        <v>7</v>
      </c>
      <c r="K529" t="s">
        <v>8</v>
      </c>
      <c r="L529" t="s">
        <v>415</v>
      </c>
      <c r="M529" t="s">
        <v>53</v>
      </c>
      <c r="N529" t="s">
        <v>11</v>
      </c>
      <c r="O529">
        <v>24</v>
      </c>
      <c r="P529" t="s">
        <v>91</v>
      </c>
      <c r="Q529" t="s">
        <v>308</v>
      </c>
      <c r="R529" t="s">
        <v>309</v>
      </c>
      <c r="S529" t="s">
        <v>187</v>
      </c>
      <c r="T529" t="s">
        <v>35</v>
      </c>
      <c r="U529">
        <v>4</v>
      </c>
      <c r="V529">
        <v>31</v>
      </c>
      <c r="W529">
        <v>77.5</v>
      </c>
      <c r="X529">
        <v>10</v>
      </c>
      <c r="Y529">
        <v>279</v>
      </c>
      <c r="Z529">
        <v>155</v>
      </c>
      <c r="AA529" t="s">
        <v>36</v>
      </c>
      <c r="AB529" t="s">
        <v>87</v>
      </c>
      <c r="AC529">
        <v>5</v>
      </c>
      <c r="AD529" t="s">
        <v>19</v>
      </c>
      <c r="AE529" t="s">
        <v>20</v>
      </c>
      <c r="AF529" t="str">
        <f t="shared" si="17"/>
        <v>Yes</v>
      </c>
    </row>
    <row r="530" spans="1:32" x14ac:dyDescent="0.3">
      <c r="A530" t="s">
        <v>1075</v>
      </c>
      <c r="B530" s="1">
        <v>45727</v>
      </c>
      <c r="C530" t="s">
        <v>417</v>
      </c>
      <c r="D530">
        <f t="shared" si="16"/>
        <v>16</v>
      </c>
      <c r="E530" t="s">
        <v>72</v>
      </c>
      <c r="F530" t="s">
        <v>3</v>
      </c>
      <c r="G530" t="s">
        <v>181</v>
      </c>
      <c r="H530" t="s">
        <v>24</v>
      </c>
      <c r="I530" t="s">
        <v>25</v>
      </c>
      <c r="J530" t="s">
        <v>26</v>
      </c>
      <c r="K530" t="s">
        <v>229</v>
      </c>
      <c r="L530" t="s">
        <v>456</v>
      </c>
      <c r="M530" t="s">
        <v>225</v>
      </c>
      <c r="N530" t="s">
        <v>30</v>
      </c>
      <c r="O530">
        <v>62</v>
      </c>
      <c r="P530" t="s">
        <v>54</v>
      </c>
      <c r="Q530" t="s">
        <v>185</v>
      </c>
      <c r="R530" t="s">
        <v>186</v>
      </c>
      <c r="S530" t="s">
        <v>187</v>
      </c>
      <c r="T530" t="s">
        <v>35</v>
      </c>
      <c r="U530">
        <v>4</v>
      </c>
      <c r="V530">
        <v>57</v>
      </c>
      <c r="W530">
        <v>159.6</v>
      </c>
      <c r="X530">
        <v>0</v>
      </c>
      <c r="Y530">
        <v>638.4</v>
      </c>
      <c r="Z530">
        <v>410.4</v>
      </c>
      <c r="AA530" t="s">
        <v>17</v>
      </c>
      <c r="AB530" t="s">
        <v>44</v>
      </c>
      <c r="AC530">
        <v>4</v>
      </c>
      <c r="AD530" t="s">
        <v>105</v>
      </c>
      <c r="AE530" t="s">
        <v>20</v>
      </c>
      <c r="AF530" t="str">
        <f t="shared" si="17"/>
        <v>Yes</v>
      </c>
    </row>
    <row r="531" spans="1:32" x14ac:dyDescent="0.3">
      <c r="A531" t="s">
        <v>1076</v>
      </c>
      <c r="B531" s="1">
        <v>45834</v>
      </c>
      <c r="C531" t="s">
        <v>345</v>
      </c>
      <c r="D531">
        <f t="shared" si="16"/>
        <v>18</v>
      </c>
      <c r="E531" t="s">
        <v>131</v>
      </c>
      <c r="F531" t="s">
        <v>48</v>
      </c>
      <c r="G531" t="s">
        <v>98</v>
      </c>
      <c r="H531" t="s">
        <v>150</v>
      </c>
      <c r="I531" t="s">
        <v>151</v>
      </c>
      <c r="J531" t="s">
        <v>152</v>
      </c>
      <c r="K531" t="s">
        <v>346</v>
      </c>
      <c r="L531" t="s">
        <v>108</v>
      </c>
      <c r="M531" t="s">
        <v>261</v>
      </c>
      <c r="N531" t="s">
        <v>30</v>
      </c>
      <c r="O531">
        <v>43</v>
      </c>
      <c r="P531" t="s">
        <v>12</v>
      </c>
      <c r="Q531" t="s">
        <v>313</v>
      </c>
      <c r="R531" t="s">
        <v>314</v>
      </c>
      <c r="S531" t="s">
        <v>128</v>
      </c>
      <c r="T531" t="s">
        <v>35</v>
      </c>
      <c r="U531">
        <v>3</v>
      </c>
      <c r="V531">
        <v>81</v>
      </c>
      <c r="W531">
        <v>202.5</v>
      </c>
      <c r="X531">
        <v>10</v>
      </c>
      <c r="Y531">
        <v>546.75</v>
      </c>
      <c r="Z531">
        <v>303.75</v>
      </c>
      <c r="AA531" t="s">
        <v>36</v>
      </c>
      <c r="AB531" t="s">
        <v>87</v>
      </c>
      <c r="AC531">
        <v>3</v>
      </c>
      <c r="AD531" t="s">
        <v>105</v>
      </c>
      <c r="AE531" t="s">
        <v>20</v>
      </c>
      <c r="AF531" t="str">
        <f t="shared" si="17"/>
        <v>Yes</v>
      </c>
    </row>
    <row r="532" spans="1:32" x14ac:dyDescent="0.3">
      <c r="A532" t="s">
        <v>1077</v>
      </c>
      <c r="B532" s="1">
        <v>45746</v>
      </c>
      <c r="C532" t="s">
        <v>191</v>
      </c>
      <c r="D532">
        <f t="shared" si="16"/>
        <v>19</v>
      </c>
      <c r="E532" t="s">
        <v>72</v>
      </c>
      <c r="F532" t="s">
        <v>3</v>
      </c>
      <c r="G532" t="s">
        <v>4</v>
      </c>
      <c r="H532" t="s">
        <v>164</v>
      </c>
      <c r="I532" t="s">
        <v>165</v>
      </c>
      <c r="J532" t="s">
        <v>166</v>
      </c>
      <c r="K532" t="s">
        <v>41</v>
      </c>
      <c r="L532" t="s">
        <v>724</v>
      </c>
      <c r="M532" t="s">
        <v>162</v>
      </c>
      <c r="N532" t="s">
        <v>30</v>
      </c>
      <c r="O532">
        <v>63</v>
      </c>
      <c r="P532" t="s">
        <v>76</v>
      </c>
      <c r="Q532" t="s">
        <v>204</v>
      </c>
      <c r="R532" t="s">
        <v>205</v>
      </c>
      <c r="S532" t="s">
        <v>118</v>
      </c>
      <c r="T532" t="s">
        <v>35</v>
      </c>
      <c r="U532">
        <v>2</v>
      </c>
      <c r="V532">
        <v>59</v>
      </c>
      <c r="W532">
        <v>177</v>
      </c>
      <c r="X532">
        <v>10</v>
      </c>
      <c r="Y532">
        <v>318.60000000000002</v>
      </c>
      <c r="Z532">
        <v>200.6</v>
      </c>
      <c r="AA532" t="s">
        <v>17</v>
      </c>
      <c r="AB532" t="s">
        <v>119</v>
      </c>
      <c r="AC532">
        <v>3</v>
      </c>
      <c r="AD532" t="s">
        <v>19</v>
      </c>
      <c r="AE532" t="s">
        <v>95</v>
      </c>
      <c r="AF532" t="str">
        <f t="shared" si="17"/>
        <v>No</v>
      </c>
    </row>
    <row r="533" spans="1:32" x14ac:dyDescent="0.3">
      <c r="A533" t="s">
        <v>1078</v>
      </c>
      <c r="B533" s="1">
        <v>45763</v>
      </c>
      <c r="C533" t="s">
        <v>298</v>
      </c>
      <c r="D533">
        <f t="shared" si="16"/>
        <v>11</v>
      </c>
      <c r="E533" t="s">
        <v>60</v>
      </c>
      <c r="F533" t="s">
        <v>48</v>
      </c>
      <c r="G533" t="s">
        <v>73</v>
      </c>
      <c r="H533" t="s">
        <v>49</v>
      </c>
      <c r="I533" t="s">
        <v>50</v>
      </c>
      <c r="J533" t="s">
        <v>7</v>
      </c>
      <c r="K533" t="s">
        <v>182</v>
      </c>
      <c r="L533" t="s">
        <v>361</v>
      </c>
      <c r="M533" t="s">
        <v>261</v>
      </c>
      <c r="N533" t="s">
        <v>30</v>
      </c>
      <c r="O533">
        <v>42</v>
      </c>
      <c r="P533" t="s">
        <v>12</v>
      </c>
      <c r="Q533" t="s">
        <v>431</v>
      </c>
      <c r="R533" t="s">
        <v>432</v>
      </c>
      <c r="S533" t="s">
        <v>172</v>
      </c>
      <c r="T533" t="s">
        <v>35</v>
      </c>
      <c r="U533">
        <v>1</v>
      </c>
      <c r="V533">
        <v>77</v>
      </c>
      <c r="W533">
        <v>192.5</v>
      </c>
      <c r="X533">
        <v>10</v>
      </c>
      <c r="Y533">
        <v>173.25</v>
      </c>
      <c r="Z533">
        <v>96.25</v>
      </c>
      <c r="AA533" t="s">
        <v>17</v>
      </c>
      <c r="AB533" t="s">
        <v>129</v>
      </c>
      <c r="AC533">
        <v>5</v>
      </c>
      <c r="AD533" t="s">
        <v>105</v>
      </c>
      <c r="AE533" t="s">
        <v>20</v>
      </c>
      <c r="AF533" t="str">
        <f t="shared" si="17"/>
        <v>Yes</v>
      </c>
    </row>
    <row r="534" spans="1:32" x14ac:dyDescent="0.3">
      <c r="A534" t="s">
        <v>1079</v>
      </c>
      <c r="B534" s="1">
        <v>45671</v>
      </c>
      <c r="C534" t="s">
        <v>388</v>
      </c>
      <c r="D534">
        <f t="shared" si="16"/>
        <v>19</v>
      </c>
      <c r="E534" t="s">
        <v>2</v>
      </c>
      <c r="F534" t="s">
        <v>3</v>
      </c>
      <c r="G534" t="s">
        <v>181</v>
      </c>
      <c r="H534" t="s">
        <v>24</v>
      </c>
      <c r="I534" t="s">
        <v>25</v>
      </c>
      <c r="J534" t="s">
        <v>26</v>
      </c>
      <c r="K534" t="s">
        <v>323</v>
      </c>
      <c r="L534" t="s">
        <v>585</v>
      </c>
      <c r="M534" t="s">
        <v>162</v>
      </c>
      <c r="N534" t="s">
        <v>11</v>
      </c>
      <c r="O534">
        <v>56</v>
      </c>
      <c r="P534" t="s">
        <v>91</v>
      </c>
      <c r="Q534" t="s">
        <v>518</v>
      </c>
      <c r="R534" t="s">
        <v>519</v>
      </c>
      <c r="S534" t="s">
        <v>242</v>
      </c>
      <c r="T534" t="s">
        <v>35</v>
      </c>
      <c r="U534">
        <v>2</v>
      </c>
      <c r="V534">
        <v>88</v>
      </c>
      <c r="W534">
        <v>193.6</v>
      </c>
      <c r="X534">
        <v>15</v>
      </c>
      <c r="Y534">
        <v>329.12</v>
      </c>
      <c r="Z534">
        <v>153.12</v>
      </c>
      <c r="AA534" t="s">
        <v>17</v>
      </c>
      <c r="AB534" t="s">
        <v>18</v>
      </c>
      <c r="AC534">
        <v>4</v>
      </c>
      <c r="AD534" t="s">
        <v>19</v>
      </c>
      <c r="AE534" t="s">
        <v>20</v>
      </c>
      <c r="AF534" t="str">
        <f t="shared" si="17"/>
        <v>Yes</v>
      </c>
    </row>
    <row r="535" spans="1:32" x14ac:dyDescent="0.3">
      <c r="A535" t="s">
        <v>1080</v>
      </c>
      <c r="B535" s="1">
        <v>45780</v>
      </c>
      <c r="C535" t="s">
        <v>207</v>
      </c>
      <c r="D535">
        <f t="shared" si="16"/>
        <v>20</v>
      </c>
      <c r="E535" t="s">
        <v>47</v>
      </c>
      <c r="F535" t="s">
        <v>48</v>
      </c>
      <c r="G535" t="s">
        <v>132</v>
      </c>
      <c r="H535" t="s">
        <v>61</v>
      </c>
      <c r="I535" t="s">
        <v>62</v>
      </c>
      <c r="J535" t="s">
        <v>7</v>
      </c>
      <c r="K535" t="s">
        <v>124</v>
      </c>
      <c r="L535" t="s">
        <v>593</v>
      </c>
      <c r="M535" t="s">
        <v>65</v>
      </c>
      <c r="N535" t="s">
        <v>30</v>
      </c>
      <c r="O535">
        <v>64</v>
      </c>
      <c r="P535" t="s">
        <v>31</v>
      </c>
      <c r="Q535" t="s">
        <v>518</v>
      </c>
      <c r="R535" t="s">
        <v>519</v>
      </c>
      <c r="S535" t="s">
        <v>242</v>
      </c>
      <c r="T535" t="s">
        <v>35</v>
      </c>
      <c r="U535">
        <v>1</v>
      </c>
      <c r="V535">
        <v>88</v>
      </c>
      <c r="W535">
        <v>193.6</v>
      </c>
      <c r="X535">
        <v>0</v>
      </c>
      <c r="Y535">
        <v>193.6</v>
      </c>
      <c r="Z535">
        <v>105.6</v>
      </c>
      <c r="AA535" t="s">
        <v>179</v>
      </c>
      <c r="AB535" t="s">
        <v>119</v>
      </c>
      <c r="AC535">
        <v>4</v>
      </c>
      <c r="AD535" t="s">
        <v>105</v>
      </c>
      <c r="AE535" t="s">
        <v>95</v>
      </c>
      <c r="AF535" t="str">
        <f t="shared" si="17"/>
        <v>No</v>
      </c>
    </row>
    <row r="536" spans="1:32" x14ac:dyDescent="0.3">
      <c r="A536" t="s">
        <v>1081</v>
      </c>
      <c r="B536" s="1">
        <v>45813</v>
      </c>
      <c r="C536" t="s">
        <v>189</v>
      </c>
      <c r="D536">
        <f t="shared" si="16"/>
        <v>9</v>
      </c>
      <c r="E536" t="s">
        <v>131</v>
      </c>
      <c r="F536" t="s">
        <v>48</v>
      </c>
      <c r="G536" t="s">
        <v>98</v>
      </c>
      <c r="H536" t="s">
        <v>5</v>
      </c>
      <c r="I536" t="s">
        <v>6</v>
      </c>
      <c r="J536" t="s">
        <v>7</v>
      </c>
      <c r="K536" t="s">
        <v>182</v>
      </c>
      <c r="L536" t="s">
        <v>746</v>
      </c>
      <c r="M536" t="s">
        <v>225</v>
      </c>
      <c r="N536" t="s">
        <v>11</v>
      </c>
      <c r="O536">
        <v>44</v>
      </c>
      <c r="P536" t="s">
        <v>12</v>
      </c>
      <c r="Q536" t="s">
        <v>32</v>
      </c>
      <c r="R536" t="s">
        <v>33</v>
      </c>
      <c r="S536" t="s">
        <v>34</v>
      </c>
      <c r="T536" t="s">
        <v>35</v>
      </c>
      <c r="U536">
        <v>3</v>
      </c>
      <c r="V536">
        <v>83</v>
      </c>
      <c r="W536">
        <v>232.4</v>
      </c>
      <c r="X536">
        <v>5</v>
      </c>
      <c r="Y536">
        <v>662.34</v>
      </c>
      <c r="Z536">
        <v>413.34</v>
      </c>
      <c r="AA536" t="s">
        <v>69</v>
      </c>
      <c r="AB536" t="s">
        <v>119</v>
      </c>
      <c r="AC536">
        <v>4</v>
      </c>
      <c r="AD536" t="s">
        <v>19</v>
      </c>
      <c r="AE536" t="s">
        <v>20</v>
      </c>
      <c r="AF536" t="str">
        <f t="shared" si="17"/>
        <v>Yes</v>
      </c>
    </row>
    <row r="537" spans="1:32" x14ac:dyDescent="0.3">
      <c r="A537" t="s">
        <v>1082</v>
      </c>
      <c r="B537" s="1">
        <v>45682</v>
      </c>
      <c r="C537" t="s">
        <v>121</v>
      </c>
      <c r="D537">
        <f t="shared" si="16"/>
        <v>9</v>
      </c>
      <c r="E537" t="s">
        <v>2</v>
      </c>
      <c r="F537" t="s">
        <v>3</v>
      </c>
      <c r="G537" t="s">
        <v>132</v>
      </c>
      <c r="H537" t="s">
        <v>5</v>
      </c>
      <c r="I537" t="s">
        <v>6</v>
      </c>
      <c r="J537" t="s">
        <v>7</v>
      </c>
      <c r="K537" t="s">
        <v>27</v>
      </c>
      <c r="L537" t="s">
        <v>1083</v>
      </c>
      <c r="M537" t="s">
        <v>53</v>
      </c>
      <c r="N537" t="s">
        <v>30</v>
      </c>
      <c r="O537">
        <v>23</v>
      </c>
      <c r="P537" t="s">
        <v>54</v>
      </c>
      <c r="Q537" t="s">
        <v>13</v>
      </c>
      <c r="R537" t="s">
        <v>14</v>
      </c>
      <c r="S537" t="s">
        <v>15</v>
      </c>
      <c r="T537" t="s">
        <v>16</v>
      </c>
      <c r="U537">
        <v>1</v>
      </c>
      <c r="V537">
        <v>43</v>
      </c>
      <c r="W537">
        <v>129</v>
      </c>
      <c r="X537">
        <v>5</v>
      </c>
      <c r="Y537">
        <v>122.55</v>
      </c>
      <c r="Z537">
        <v>79.55</v>
      </c>
      <c r="AA537" t="s">
        <v>179</v>
      </c>
      <c r="AB537" t="s">
        <v>44</v>
      </c>
      <c r="AC537">
        <v>4</v>
      </c>
      <c r="AD537" t="s">
        <v>105</v>
      </c>
      <c r="AE537" t="s">
        <v>20</v>
      </c>
      <c r="AF537" t="str">
        <f t="shared" si="17"/>
        <v>Yes</v>
      </c>
    </row>
    <row r="538" spans="1:32" x14ac:dyDescent="0.3">
      <c r="A538" t="s">
        <v>1084</v>
      </c>
      <c r="B538" s="1">
        <v>45674</v>
      </c>
      <c r="C538" t="s">
        <v>250</v>
      </c>
      <c r="D538">
        <f t="shared" si="16"/>
        <v>13</v>
      </c>
      <c r="E538" t="s">
        <v>2</v>
      </c>
      <c r="F538" t="s">
        <v>3</v>
      </c>
      <c r="G538" t="s">
        <v>40</v>
      </c>
      <c r="H538" t="s">
        <v>24</v>
      </c>
      <c r="I538" t="s">
        <v>25</v>
      </c>
      <c r="J538" t="s">
        <v>26</v>
      </c>
      <c r="K538" t="s">
        <v>352</v>
      </c>
      <c r="L538" t="s">
        <v>503</v>
      </c>
      <c r="M538" t="s">
        <v>53</v>
      </c>
      <c r="N538" t="s">
        <v>30</v>
      </c>
      <c r="O538">
        <v>56</v>
      </c>
      <c r="P538" t="s">
        <v>76</v>
      </c>
      <c r="Q538" t="s">
        <v>240</v>
      </c>
      <c r="R538" t="s">
        <v>241</v>
      </c>
      <c r="S538" t="s">
        <v>242</v>
      </c>
      <c r="T538" t="s">
        <v>35</v>
      </c>
      <c r="U538">
        <v>2</v>
      </c>
      <c r="V538">
        <v>89</v>
      </c>
      <c r="W538">
        <v>267</v>
      </c>
      <c r="X538">
        <v>15</v>
      </c>
      <c r="Y538">
        <v>453.9</v>
      </c>
      <c r="Z538">
        <v>275.89999999999998</v>
      </c>
      <c r="AA538" t="s">
        <v>43</v>
      </c>
      <c r="AB538" t="s">
        <v>18</v>
      </c>
      <c r="AC538">
        <v>4</v>
      </c>
      <c r="AD538" t="s">
        <v>105</v>
      </c>
      <c r="AE538" t="s">
        <v>20</v>
      </c>
      <c r="AF538" t="str">
        <f t="shared" si="17"/>
        <v>Yes</v>
      </c>
    </row>
    <row r="539" spans="1:32" x14ac:dyDescent="0.3">
      <c r="A539" t="s">
        <v>1085</v>
      </c>
      <c r="B539" s="1">
        <v>45771</v>
      </c>
      <c r="C539" t="s">
        <v>158</v>
      </c>
      <c r="D539">
        <f t="shared" si="16"/>
        <v>8</v>
      </c>
      <c r="E539" t="s">
        <v>60</v>
      </c>
      <c r="F539" t="s">
        <v>48</v>
      </c>
      <c r="G539" t="s">
        <v>98</v>
      </c>
      <c r="H539" t="s">
        <v>81</v>
      </c>
      <c r="I539" t="s">
        <v>82</v>
      </c>
      <c r="J539" t="s">
        <v>7</v>
      </c>
      <c r="K539" t="s">
        <v>167</v>
      </c>
      <c r="L539" t="s">
        <v>983</v>
      </c>
      <c r="M539" t="s">
        <v>53</v>
      </c>
      <c r="N539" t="s">
        <v>11</v>
      </c>
      <c r="O539">
        <v>37</v>
      </c>
      <c r="P539" t="s">
        <v>76</v>
      </c>
      <c r="Q539" t="s">
        <v>370</v>
      </c>
      <c r="R539" t="s">
        <v>371</v>
      </c>
      <c r="S539" t="s">
        <v>111</v>
      </c>
      <c r="T539" t="s">
        <v>35</v>
      </c>
      <c r="U539">
        <v>3</v>
      </c>
      <c r="V539">
        <v>99</v>
      </c>
      <c r="W539">
        <v>247.5</v>
      </c>
      <c r="X539">
        <v>10</v>
      </c>
      <c r="Y539">
        <v>668.25</v>
      </c>
      <c r="Z539">
        <v>371.25</v>
      </c>
      <c r="AA539" t="s">
        <v>36</v>
      </c>
      <c r="AB539" t="s">
        <v>129</v>
      </c>
      <c r="AD539" t="s">
        <v>19</v>
      </c>
      <c r="AE539" t="s">
        <v>20</v>
      </c>
      <c r="AF539" t="str">
        <f t="shared" si="17"/>
        <v>Yes</v>
      </c>
    </row>
    <row r="540" spans="1:32" x14ac:dyDescent="0.3">
      <c r="A540" t="s">
        <v>1086</v>
      </c>
      <c r="B540" s="1">
        <v>45799</v>
      </c>
      <c r="C540" t="s">
        <v>337</v>
      </c>
      <c r="D540">
        <f t="shared" si="16"/>
        <v>17</v>
      </c>
      <c r="E540" t="s">
        <v>47</v>
      </c>
      <c r="F540" t="s">
        <v>48</v>
      </c>
      <c r="G540" t="s">
        <v>98</v>
      </c>
      <c r="H540" t="s">
        <v>61</v>
      </c>
      <c r="I540" t="s">
        <v>62</v>
      </c>
      <c r="J540" t="s">
        <v>7</v>
      </c>
      <c r="K540" t="s">
        <v>74</v>
      </c>
      <c r="L540" t="s">
        <v>369</v>
      </c>
      <c r="M540" t="s">
        <v>169</v>
      </c>
      <c r="N540" t="s">
        <v>11</v>
      </c>
      <c r="O540">
        <v>39</v>
      </c>
      <c r="P540" t="s">
        <v>76</v>
      </c>
      <c r="Q540" t="s">
        <v>256</v>
      </c>
      <c r="R540" t="s">
        <v>257</v>
      </c>
      <c r="S540" t="s">
        <v>118</v>
      </c>
      <c r="T540" t="s">
        <v>35</v>
      </c>
      <c r="U540">
        <v>1</v>
      </c>
      <c r="V540">
        <v>30</v>
      </c>
      <c r="W540">
        <v>90</v>
      </c>
      <c r="X540">
        <v>0</v>
      </c>
      <c r="Y540">
        <v>90</v>
      </c>
      <c r="Z540">
        <v>60</v>
      </c>
      <c r="AA540" t="s">
        <v>69</v>
      </c>
      <c r="AB540" t="s">
        <v>37</v>
      </c>
      <c r="AC540">
        <v>4</v>
      </c>
      <c r="AD540" t="s">
        <v>105</v>
      </c>
      <c r="AE540" t="s">
        <v>20</v>
      </c>
      <c r="AF540" t="str">
        <f t="shared" si="17"/>
        <v>Yes</v>
      </c>
    </row>
    <row r="541" spans="1:32" x14ac:dyDescent="0.3">
      <c r="A541" t="s">
        <v>1087</v>
      </c>
      <c r="B541" s="1">
        <v>45779</v>
      </c>
      <c r="C541" t="s">
        <v>537</v>
      </c>
      <c r="D541">
        <f t="shared" si="16"/>
        <v>8</v>
      </c>
      <c r="E541" t="s">
        <v>47</v>
      </c>
      <c r="F541" t="s">
        <v>48</v>
      </c>
      <c r="G541" t="s">
        <v>40</v>
      </c>
      <c r="H541" t="s">
        <v>49</v>
      </c>
      <c r="I541" t="s">
        <v>50</v>
      </c>
      <c r="J541" t="s">
        <v>7</v>
      </c>
      <c r="K541" t="s">
        <v>27</v>
      </c>
      <c r="L541" t="s">
        <v>210</v>
      </c>
      <c r="M541" t="s">
        <v>140</v>
      </c>
      <c r="N541" t="s">
        <v>11</v>
      </c>
      <c r="O541">
        <v>54</v>
      </c>
      <c r="P541" t="s">
        <v>91</v>
      </c>
      <c r="Q541" t="s">
        <v>291</v>
      </c>
      <c r="R541" t="s">
        <v>292</v>
      </c>
      <c r="S541" t="s">
        <v>242</v>
      </c>
      <c r="T541" t="s">
        <v>16</v>
      </c>
      <c r="U541">
        <v>4</v>
      </c>
      <c r="V541">
        <v>68</v>
      </c>
      <c r="W541">
        <v>204</v>
      </c>
      <c r="X541">
        <v>10</v>
      </c>
      <c r="Y541">
        <v>734.4</v>
      </c>
      <c r="Z541">
        <v>462.4</v>
      </c>
      <c r="AA541" t="s">
        <v>43</v>
      </c>
      <c r="AB541" t="s">
        <v>119</v>
      </c>
      <c r="AD541" t="s">
        <v>105</v>
      </c>
      <c r="AE541" t="s">
        <v>20</v>
      </c>
      <c r="AF541" t="str">
        <f t="shared" si="17"/>
        <v>Yes</v>
      </c>
    </row>
    <row r="542" spans="1:32" x14ac:dyDescent="0.3">
      <c r="A542" t="s">
        <v>1088</v>
      </c>
      <c r="B542" s="1">
        <v>45802</v>
      </c>
      <c r="C542" t="s">
        <v>233</v>
      </c>
      <c r="D542">
        <f t="shared" si="16"/>
        <v>18</v>
      </c>
      <c r="E542" t="s">
        <v>47</v>
      </c>
      <c r="F542" t="s">
        <v>48</v>
      </c>
      <c r="G542" t="s">
        <v>4</v>
      </c>
      <c r="H542" t="s">
        <v>24</v>
      </c>
      <c r="I542" t="s">
        <v>25</v>
      </c>
      <c r="J542" t="s">
        <v>26</v>
      </c>
      <c r="K542" t="s">
        <v>146</v>
      </c>
      <c r="L542" t="s">
        <v>731</v>
      </c>
      <c r="M542" t="s">
        <v>169</v>
      </c>
      <c r="N542" t="s">
        <v>11</v>
      </c>
      <c r="O542">
        <v>23</v>
      </c>
      <c r="P542" t="s">
        <v>76</v>
      </c>
      <c r="Q542" t="s">
        <v>518</v>
      </c>
      <c r="R542" t="s">
        <v>519</v>
      </c>
      <c r="S542" t="s">
        <v>242</v>
      </c>
      <c r="T542" t="s">
        <v>35</v>
      </c>
      <c r="U542">
        <v>3</v>
      </c>
      <c r="V542">
        <v>88</v>
      </c>
      <c r="W542">
        <v>193.6</v>
      </c>
      <c r="X542">
        <v>5</v>
      </c>
      <c r="Y542">
        <v>551.76</v>
      </c>
      <c r="Z542">
        <v>287.76</v>
      </c>
      <c r="AA542" t="s">
        <v>179</v>
      </c>
      <c r="AB542" t="s">
        <v>129</v>
      </c>
      <c r="AC542">
        <v>5</v>
      </c>
      <c r="AD542" t="s">
        <v>19</v>
      </c>
      <c r="AE542" t="s">
        <v>20</v>
      </c>
      <c r="AF542" t="str">
        <f t="shared" si="17"/>
        <v>Yes</v>
      </c>
    </row>
    <row r="543" spans="1:32" x14ac:dyDescent="0.3">
      <c r="A543" t="s">
        <v>1089</v>
      </c>
      <c r="B543" s="1">
        <v>45662</v>
      </c>
      <c r="C543" t="s">
        <v>189</v>
      </c>
      <c r="D543">
        <f t="shared" si="16"/>
        <v>9</v>
      </c>
      <c r="E543" t="s">
        <v>2</v>
      </c>
      <c r="F543" t="s">
        <v>3</v>
      </c>
      <c r="G543" t="s">
        <v>4</v>
      </c>
      <c r="H543" t="s">
        <v>49</v>
      </c>
      <c r="I543" t="s">
        <v>50</v>
      </c>
      <c r="J543" t="s">
        <v>7</v>
      </c>
      <c r="K543" t="s">
        <v>8</v>
      </c>
      <c r="L543" t="s">
        <v>341</v>
      </c>
      <c r="M543" t="s">
        <v>65</v>
      </c>
      <c r="N543" t="s">
        <v>11</v>
      </c>
      <c r="O543">
        <v>27</v>
      </c>
      <c r="P543" t="s">
        <v>54</v>
      </c>
      <c r="Q543" t="s">
        <v>77</v>
      </c>
      <c r="R543" t="s">
        <v>78</v>
      </c>
      <c r="S543" t="s">
        <v>68</v>
      </c>
      <c r="T543" t="s">
        <v>16</v>
      </c>
      <c r="U543">
        <v>2</v>
      </c>
      <c r="V543">
        <v>35</v>
      </c>
      <c r="W543">
        <v>105</v>
      </c>
      <c r="X543">
        <v>10</v>
      </c>
      <c r="Y543">
        <v>189</v>
      </c>
      <c r="Z543">
        <v>119</v>
      </c>
      <c r="AA543" t="s">
        <v>179</v>
      </c>
      <c r="AB543" t="s">
        <v>129</v>
      </c>
      <c r="AC543">
        <v>3</v>
      </c>
      <c r="AD543" t="s">
        <v>19</v>
      </c>
      <c r="AE543" t="s">
        <v>20</v>
      </c>
      <c r="AF543" t="str">
        <f t="shared" si="17"/>
        <v>Yes</v>
      </c>
    </row>
    <row r="544" spans="1:32" x14ac:dyDescent="0.3">
      <c r="A544" t="s">
        <v>1090</v>
      </c>
      <c r="B544" s="1">
        <v>45669</v>
      </c>
      <c r="C544" t="s">
        <v>97</v>
      </c>
      <c r="D544">
        <f t="shared" si="16"/>
        <v>7</v>
      </c>
      <c r="E544" t="s">
        <v>2</v>
      </c>
      <c r="F544" t="s">
        <v>3</v>
      </c>
      <c r="G544" t="s">
        <v>4</v>
      </c>
      <c r="H544" t="s">
        <v>99</v>
      </c>
      <c r="I544" t="s">
        <v>100</v>
      </c>
      <c r="J544" t="s">
        <v>101</v>
      </c>
      <c r="K544" t="s">
        <v>346</v>
      </c>
      <c r="L544" t="s">
        <v>477</v>
      </c>
      <c r="M544" t="s">
        <v>162</v>
      </c>
      <c r="N544" t="s">
        <v>30</v>
      </c>
      <c r="O544">
        <v>56</v>
      </c>
      <c r="P544" t="s">
        <v>12</v>
      </c>
      <c r="Q544" t="s">
        <v>252</v>
      </c>
      <c r="R544" t="s">
        <v>253</v>
      </c>
      <c r="S544" t="s">
        <v>178</v>
      </c>
      <c r="T544" t="s">
        <v>35</v>
      </c>
      <c r="U544">
        <v>4</v>
      </c>
      <c r="V544">
        <v>82</v>
      </c>
      <c r="W544">
        <v>205</v>
      </c>
      <c r="X544">
        <v>5</v>
      </c>
      <c r="Y544">
        <v>779</v>
      </c>
      <c r="Z544">
        <v>451</v>
      </c>
      <c r="AA544" t="s">
        <v>179</v>
      </c>
      <c r="AB544" t="s">
        <v>119</v>
      </c>
      <c r="AD544" t="s">
        <v>105</v>
      </c>
      <c r="AE544" t="s">
        <v>95</v>
      </c>
      <c r="AF544" t="str">
        <f t="shared" si="17"/>
        <v>No</v>
      </c>
    </row>
    <row r="545" spans="1:32" x14ac:dyDescent="0.3">
      <c r="A545" t="s">
        <v>1091</v>
      </c>
      <c r="B545" s="1">
        <v>45703</v>
      </c>
      <c r="C545" t="s">
        <v>298</v>
      </c>
      <c r="D545">
        <f t="shared" si="16"/>
        <v>11</v>
      </c>
      <c r="E545" t="s">
        <v>145</v>
      </c>
      <c r="F545" t="s">
        <v>3</v>
      </c>
      <c r="G545" t="s">
        <v>132</v>
      </c>
      <c r="H545" t="s">
        <v>150</v>
      </c>
      <c r="I545" t="s">
        <v>151</v>
      </c>
      <c r="J545" t="s">
        <v>152</v>
      </c>
      <c r="K545" t="s">
        <v>124</v>
      </c>
      <c r="L545" t="s">
        <v>1092</v>
      </c>
      <c r="M545" t="s">
        <v>169</v>
      </c>
      <c r="N545" t="s">
        <v>11</v>
      </c>
      <c r="O545">
        <v>42</v>
      </c>
      <c r="P545" t="s">
        <v>91</v>
      </c>
      <c r="Q545" t="s">
        <v>185</v>
      </c>
      <c r="R545" t="s">
        <v>186</v>
      </c>
      <c r="S545" t="s">
        <v>187</v>
      </c>
      <c r="T545" t="s">
        <v>35</v>
      </c>
      <c r="U545">
        <v>3</v>
      </c>
      <c r="V545">
        <v>57</v>
      </c>
      <c r="W545">
        <v>159.6</v>
      </c>
      <c r="X545">
        <v>15</v>
      </c>
      <c r="Y545">
        <v>406.98</v>
      </c>
      <c r="Z545">
        <v>235.98</v>
      </c>
      <c r="AA545" t="s">
        <v>69</v>
      </c>
      <c r="AB545" t="s">
        <v>18</v>
      </c>
      <c r="AC545">
        <v>4</v>
      </c>
      <c r="AD545" t="s">
        <v>19</v>
      </c>
      <c r="AE545" t="s">
        <v>20</v>
      </c>
      <c r="AF545" t="str">
        <f t="shared" si="17"/>
        <v>Yes</v>
      </c>
    </row>
    <row r="546" spans="1:32" x14ac:dyDescent="0.3">
      <c r="A546" t="s">
        <v>1093</v>
      </c>
      <c r="B546" s="1">
        <v>45750</v>
      </c>
      <c r="C546" t="s">
        <v>407</v>
      </c>
      <c r="D546">
        <f t="shared" si="16"/>
        <v>8</v>
      </c>
      <c r="E546" t="s">
        <v>60</v>
      </c>
      <c r="F546" t="s">
        <v>48</v>
      </c>
      <c r="G546" t="s">
        <v>98</v>
      </c>
      <c r="H546" t="s">
        <v>99</v>
      </c>
      <c r="I546" t="s">
        <v>100</v>
      </c>
      <c r="J546" t="s">
        <v>101</v>
      </c>
      <c r="K546" t="s">
        <v>107</v>
      </c>
      <c r="L546" t="s">
        <v>827</v>
      </c>
      <c r="M546" t="s">
        <v>140</v>
      </c>
      <c r="N546" t="s">
        <v>30</v>
      </c>
      <c r="O546">
        <v>42</v>
      </c>
      <c r="P546" t="s">
        <v>31</v>
      </c>
      <c r="Q546" t="s">
        <v>92</v>
      </c>
      <c r="R546" t="s">
        <v>93</v>
      </c>
      <c r="S546" t="s">
        <v>94</v>
      </c>
      <c r="T546" t="s">
        <v>16</v>
      </c>
      <c r="U546">
        <v>4</v>
      </c>
      <c r="V546">
        <v>85</v>
      </c>
      <c r="W546">
        <v>255</v>
      </c>
      <c r="X546">
        <v>5</v>
      </c>
      <c r="Y546">
        <v>969</v>
      </c>
      <c r="Z546">
        <v>629</v>
      </c>
      <c r="AA546" t="s">
        <v>179</v>
      </c>
      <c r="AB546" t="s">
        <v>129</v>
      </c>
      <c r="AC546">
        <v>4</v>
      </c>
      <c r="AD546" t="s">
        <v>105</v>
      </c>
      <c r="AE546" t="s">
        <v>20</v>
      </c>
      <c r="AF546" t="str">
        <f t="shared" si="17"/>
        <v>Yes</v>
      </c>
    </row>
    <row r="547" spans="1:32" x14ac:dyDescent="0.3">
      <c r="A547" t="s">
        <v>1094</v>
      </c>
      <c r="B547" s="1">
        <v>45702</v>
      </c>
      <c r="C547" t="s">
        <v>71</v>
      </c>
      <c r="D547">
        <f t="shared" si="16"/>
        <v>10</v>
      </c>
      <c r="E547" t="s">
        <v>145</v>
      </c>
      <c r="F547" t="s">
        <v>3</v>
      </c>
      <c r="G547" t="s">
        <v>40</v>
      </c>
      <c r="H547" t="s">
        <v>24</v>
      </c>
      <c r="I547" t="s">
        <v>25</v>
      </c>
      <c r="J547" t="s">
        <v>26</v>
      </c>
      <c r="K547" t="s">
        <v>51</v>
      </c>
      <c r="L547" t="s">
        <v>721</v>
      </c>
      <c r="M547" t="s">
        <v>162</v>
      </c>
      <c r="N547" t="s">
        <v>30</v>
      </c>
      <c r="O547">
        <v>18</v>
      </c>
      <c r="P547" t="s">
        <v>76</v>
      </c>
      <c r="Q547" t="s">
        <v>409</v>
      </c>
      <c r="R547" t="s">
        <v>410</v>
      </c>
      <c r="S547" t="s">
        <v>237</v>
      </c>
      <c r="T547" t="s">
        <v>16</v>
      </c>
      <c r="U547">
        <v>3</v>
      </c>
      <c r="V547">
        <v>26</v>
      </c>
      <c r="W547">
        <v>78</v>
      </c>
      <c r="X547">
        <v>15</v>
      </c>
      <c r="Y547">
        <v>198.9</v>
      </c>
      <c r="Z547">
        <v>120.9</v>
      </c>
      <c r="AA547" t="s">
        <v>36</v>
      </c>
      <c r="AB547" t="s">
        <v>18</v>
      </c>
      <c r="AC547">
        <v>5</v>
      </c>
      <c r="AD547" t="s">
        <v>105</v>
      </c>
      <c r="AE547" t="s">
        <v>20</v>
      </c>
      <c r="AF547" t="str">
        <f t="shared" si="17"/>
        <v>Yes</v>
      </c>
    </row>
    <row r="548" spans="1:32" x14ac:dyDescent="0.3">
      <c r="A548" t="s">
        <v>1095</v>
      </c>
      <c r="B548" s="1">
        <v>45687</v>
      </c>
      <c r="C548" t="s">
        <v>330</v>
      </c>
      <c r="D548">
        <f t="shared" si="16"/>
        <v>14</v>
      </c>
      <c r="E548" t="s">
        <v>2</v>
      </c>
      <c r="F548" t="s">
        <v>3</v>
      </c>
      <c r="G548" t="s">
        <v>98</v>
      </c>
      <c r="H548" t="s">
        <v>24</v>
      </c>
      <c r="I548" t="s">
        <v>25</v>
      </c>
      <c r="J548" t="s">
        <v>26</v>
      </c>
      <c r="K548" t="s">
        <v>311</v>
      </c>
      <c r="L548" t="s">
        <v>288</v>
      </c>
      <c r="M548" t="s">
        <v>225</v>
      </c>
      <c r="N548" t="s">
        <v>30</v>
      </c>
      <c r="O548">
        <v>48</v>
      </c>
      <c r="P548" t="s">
        <v>91</v>
      </c>
      <c r="Q548" t="s">
        <v>116</v>
      </c>
      <c r="R548" t="s">
        <v>117</v>
      </c>
      <c r="S548" t="s">
        <v>118</v>
      </c>
      <c r="T548" t="s">
        <v>35</v>
      </c>
      <c r="U548">
        <v>2</v>
      </c>
      <c r="V548">
        <v>99</v>
      </c>
      <c r="W548">
        <v>277.2</v>
      </c>
      <c r="X548">
        <v>0</v>
      </c>
      <c r="Y548">
        <v>554.4</v>
      </c>
      <c r="Z548">
        <v>356.4</v>
      </c>
      <c r="AA548" t="s">
        <v>36</v>
      </c>
      <c r="AB548" t="s">
        <v>87</v>
      </c>
      <c r="AD548" t="s">
        <v>19</v>
      </c>
      <c r="AE548" t="s">
        <v>95</v>
      </c>
      <c r="AF548" t="str">
        <f t="shared" si="17"/>
        <v>No</v>
      </c>
    </row>
    <row r="549" spans="1:32" x14ac:dyDescent="0.3">
      <c r="A549" t="s">
        <v>1096</v>
      </c>
      <c r="B549" s="1">
        <v>45812</v>
      </c>
      <c r="C549" t="s">
        <v>113</v>
      </c>
      <c r="D549">
        <f t="shared" si="16"/>
        <v>8</v>
      </c>
      <c r="E549" t="s">
        <v>131</v>
      </c>
      <c r="F549" t="s">
        <v>48</v>
      </c>
      <c r="G549" t="s">
        <v>73</v>
      </c>
      <c r="H549" t="s">
        <v>122</v>
      </c>
      <c r="I549" t="s">
        <v>123</v>
      </c>
      <c r="J549" t="s">
        <v>7</v>
      </c>
      <c r="K549" t="s">
        <v>196</v>
      </c>
      <c r="L549" t="s">
        <v>600</v>
      </c>
      <c r="M549" t="s">
        <v>169</v>
      </c>
      <c r="N549" t="s">
        <v>30</v>
      </c>
      <c r="O549">
        <v>33</v>
      </c>
      <c r="P549" t="s">
        <v>91</v>
      </c>
      <c r="Q549" t="s">
        <v>103</v>
      </c>
      <c r="R549" t="s">
        <v>104</v>
      </c>
      <c r="S549" t="s">
        <v>94</v>
      </c>
      <c r="T549" t="s">
        <v>35</v>
      </c>
      <c r="U549">
        <v>1</v>
      </c>
      <c r="V549">
        <v>57</v>
      </c>
      <c r="W549">
        <v>159.6</v>
      </c>
      <c r="X549">
        <v>5</v>
      </c>
      <c r="Y549">
        <v>151.62</v>
      </c>
      <c r="Z549">
        <v>94.62</v>
      </c>
      <c r="AA549" t="s">
        <v>179</v>
      </c>
      <c r="AB549" t="s">
        <v>44</v>
      </c>
      <c r="AC549">
        <v>4</v>
      </c>
      <c r="AD549" t="s">
        <v>19</v>
      </c>
      <c r="AE549" t="s">
        <v>20</v>
      </c>
      <c r="AF549" t="str">
        <f t="shared" si="17"/>
        <v>Yes</v>
      </c>
    </row>
    <row r="550" spans="1:32" x14ac:dyDescent="0.3">
      <c r="A550" t="s">
        <v>1097</v>
      </c>
      <c r="B550" s="1">
        <v>45836</v>
      </c>
      <c r="C550" t="s">
        <v>39</v>
      </c>
      <c r="D550">
        <f t="shared" si="16"/>
        <v>18</v>
      </c>
      <c r="E550" t="s">
        <v>131</v>
      </c>
      <c r="F550" t="s">
        <v>48</v>
      </c>
      <c r="G550" t="s">
        <v>132</v>
      </c>
      <c r="H550" t="s">
        <v>122</v>
      </c>
      <c r="I550" t="s">
        <v>123</v>
      </c>
      <c r="J550" t="s">
        <v>7</v>
      </c>
      <c r="K550" t="s">
        <v>167</v>
      </c>
      <c r="L550" t="s">
        <v>1098</v>
      </c>
      <c r="M550" t="s">
        <v>261</v>
      </c>
      <c r="N550" t="s">
        <v>11</v>
      </c>
      <c r="O550">
        <v>37</v>
      </c>
      <c r="P550" t="s">
        <v>54</v>
      </c>
      <c r="Q550" t="s">
        <v>431</v>
      </c>
      <c r="R550" t="s">
        <v>432</v>
      </c>
      <c r="S550" t="s">
        <v>172</v>
      </c>
      <c r="T550" t="s">
        <v>35</v>
      </c>
      <c r="U550">
        <v>3</v>
      </c>
      <c r="V550">
        <v>77</v>
      </c>
      <c r="W550">
        <v>192.5</v>
      </c>
      <c r="X550">
        <v>10</v>
      </c>
      <c r="Y550">
        <v>519.75</v>
      </c>
      <c r="Z550">
        <v>288.75</v>
      </c>
      <c r="AA550" t="s">
        <v>36</v>
      </c>
      <c r="AB550" t="s">
        <v>37</v>
      </c>
      <c r="AC550">
        <v>4</v>
      </c>
      <c r="AD550" t="s">
        <v>105</v>
      </c>
      <c r="AE550" t="s">
        <v>20</v>
      </c>
      <c r="AF550" t="str">
        <f t="shared" si="17"/>
        <v>Yes</v>
      </c>
    </row>
    <row r="551" spans="1:32" x14ac:dyDescent="0.3">
      <c r="A551" t="s">
        <v>1099</v>
      </c>
      <c r="B551" s="1">
        <v>45700</v>
      </c>
      <c r="C551" t="s">
        <v>407</v>
      </c>
      <c r="D551">
        <f t="shared" si="16"/>
        <v>8</v>
      </c>
      <c r="E551" t="s">
        <v>145</v>
      </c>
      <c r="F551" t="s">
        <v>3</v>
      </c>
      <c r="G551" t="s">
        <v>73</v>
      </c>
      <c r="H551" t="s">
        <v>61</v>
      </c>
      <c r="I551" t="s">
        <v>62</v>
      </c>
      <c r="J551" t="s">
        <v>7</v>
      </c>
      <c r="K551" t="s">
        <v>27</v>
      </c>
      <c r="L551" t="s">
        <v>851</v>
      </c>
      <c r="M551" t="s">
        <v>29</v>
      </c>
      <c r="N551" t="s">
        <v>11</v>
      </c>
      <c r="O551">
        <v>21</v>
      </c>
      <c r="P551" t="s">
        <v>31</v>
      </c>
      <c r="Q551" t="s">
        <v>313</v>
      </c>
      <c r="R551" t="s">
        <v>314</v>
      </c>
      <c r="S551" t="s">
        <v>128</v>
      </c>
      <c r="T551" t="s">
        <v>35</v>
      </c>
      <c r="U551">
        <v>2</v>
      </c>
      <c r="V551">
        <v>81</v>
      </c>
      <c r="W551">
        <v>202.5</v>
      </c>
      <c r="X551">
        <v>0</v>
      </c>
      <c r="Y551">
        <v>405</v>
      </c>
      <c r="Z551">
        <v>243</v>
      </c>
      <c r="AA551" t="s">
        <v>43</v>
      </c>
      <c r="AB551" t="s">
        <v>119</v>
      </c>
      <c r="AC551">
        <v>4</v>
      </c>
      <c r="AD551" t="s">
        <v>105</v>
      </c>
      <c r="AE551" t="s">
        <v>20</v>
      </c>
      <c r="AF551" t="str">
        <f t="shared" si="17"/>
        <v>Yes</v>
      </c>
    </row>
    <row r="552" spans="1:32" x14ac:dyDescent="0.3">
      <c r="A552" t="s">
        <v>1100</v>
      </c>
      <c r="B552" s="1">
        <v>45807</v>
      </c>
      <c r="C552" t="s">
        <v>80</v>
      </c>
      <c r="D552">
        <f t="shared" si="16"/>
        <v>10</v>
      </c>
      <c r="E552" t="s">
        <v>47</v>
      </c>
      <c r="F552" t="s">
        <v>48</v>
      </c>
      <c r="G552" t="s">
        <v>40</v>
      </c>
      <c r="H552" t="s">
        <v>164</v>
      </c>
      <c r="I552" t="s">
        <v>165</v>
      </c>
      <c r="J552" t="s">
        <v>166</v>
      </c>
      <c r="K552" t="s">
        <v>318</v>
      </c>
      <c r="L552" t="s">
        <v>380</v>
      </c>
      <c r="M552" t="s">
        <v>162</v>
      </c>
      <c r="N552" t="s">
        <v>11</v>
      </c>
      <c r="O552">
        <v>37</v>
      </c>
      <c r="P552" t="s">
        <v>76</v>
      </c>
      <c r="Q552" t="s">
        <v>109</v>
      </c>
      <c r="R552" t="s">
        <v>110</v>
      </c>
      <c r="S552" t="s">
        <v>111</v>
      </c>
      <c r="T552" t="s">
        <v>16</v>
      </c>
      <c r="U552">
        <v>3</v>
      </c>
      <c r="V552">
        <v>83</v>
      </c>
      <c r="W552">
        <v>182.6</v>
      </c>
      <c r="X552">
        <v>10</v>
      </c>
      <c r="Y552">
        <v>493.02</v>
      </c>
      <c r="Z552">
        <v>244.02</v>
      </c>
      <c r="AA552" t="s">
        <v>17</v>
      </c>
      <c r="AB552" t="s">
        <v>129</v>
      </c>
      <c r="AC552">
        <v>5</v>
      </c>
      <c r="AD552" t="s">
        <v>19</v>
      </c>
      <c r="AE552" t="s">
        <v>20</v>
      </c>
      <c r="AF552" t="str">
        <f t="shared" si="17"/>
        <v>Yes</v>
      </c>
    </row>
    <row r="553" spans="1:32" x14ac:dyDescent="0.3">
      <c r="A553" t="s">
        <v>1101</v>
      </c>
      <c r="B553" s="1">
        <v>45668</v>
      </c>
      <c r="C553" t="s">
        <v>244</v>
      </c>
      <c r="D553">
        <f t="shared" si="16"/>
        <v>20</v>
      </c>
      <c r="E553" t="s">
        <v>2</v>
      </c>
      <c r="F553" t="s">
        <v>3</v>
      </c>
      <c r="G553" t="s">
        <v>132</v>
      </c>
      <c r="H553" t="s">
        <v>99</v>
      </c>
      <c r="I553" t="s">
        <v>100</v>
      </c>
      <c r="J553" t="s">
        <v>101</v>
      </c>
      <c r="K553" t="s">
        <v>229</v>
      </c>
      <c r="L553" t="s">
        <v>899</v>
      </c>
      <c r="M553" t="s">
        <v>162</v>
      </c>
      <c r="N553" t="s">
        <v>11</v>
      </c>
      <c r="O553">
        <v>31</v>
      </c>
      <c r="P553" t="s">
        <v>76</v>
      </c>
      <c r="Q553" t="s">
        <v>116</v>
      </c>
      <c r="R553" t="s">
        <v>117</v>
      </c>
      <c r="S553" t="s">
        <v>118</v>
      </c>
      <c r="T553" t="s">
        <v>35</v>
      </c>
      <c r="U553">
        <v>4</v>
      </c>
      <c r="V553">
        <v>99</v>
      </c>
      <c r="W553">
        <v>277.2</v>
      </c>
      <c r="X553">
        <v>0</v>
      </c>
      <c r="Y553">
        <v>1108.8</v>
      </c>
      <c r="Z553">
        <v>712.8</v>
      </c>
      <c r="AA553" t="s">
        <v>36</v>
      </c>
      <c r="AB553" t="s">
        <v>119</v>
      </c>
      <c r="AC553">
        <v>4</v>
      </c>
      <c r="AD553" t="s">
        <v>105</v>
      </c>
      <c r="AE553" t="s">
        <v>95</v>
      </c>
      <c r="AF553" t="str">
        <f t="shared" si="17"/>
        <v>No</v>
      </c>
    </row>
    <row r="554" spans="1:32" x14ac:dyDescent="0.3">
      <c r="A554" t="s">
        <v>1102</v>
      </c>
      <c r="B554" s="1">
        <v>45777</v>
      </c>
      <c r="C554" t="s">
        <v>233</v>
      </c>
      <c r="D554">
        <f t="shared" si="16"/>
        <v>18</v>
      </c>
      <c r="E554" t="s">
        <v>60</v>
      </c>
      <c r="F554" t="s">
        <v>48</v>
      </c>
      <c r="G554" t="s">
        <v>73</v>
      </c>
      <c r="H554" t="s">
        <v>159</v>
      </c>
      <c r="I554" t="s">
        <v>160</v>
      </c>
      <c r="J554" t="s">
        <v>161</v>
      </c>
      <c r="K554" t="s">
        <v>114</v>
      </c>
      <c r="L554" t="s">
        <v>530</v>
      </c>
      <c r="M554" t="s">
        <v>140</v>
      </c>
      <c r="N554" t="s">
        <v>30</v>
      </c>
      <c r="O554">
        <v>45</v>
      </c>
      <c r="P554" t="s">
        <v>91</v>
      </c>
      <c r="Q554" t="s">
        <v>358</v>
      </c>
      <c r="R554" t="s">
        <v>359</v>
      </c>
      <c r="S554" t="s">
        <v>15</v>
      </c>
      <c r="T554" t="s">
        <v>35</v>
      </c>
      <c r="U554">
        <v>3</v>
      </c>
      <c r="V554">
        <v>55</v>
      </c>
      <c r="W554">
        <v>137.5</v>
      </c>
      <c r="X554">
        <v>10</v>
      </c>
      <c r="Y554">
        <v>371.25</v>
      </c>
      <c r="Z554">
        <v>206.25</v>
      </c>
      <c r="AA554" t="s">
        <v>43</v>
      </c>
      <c r="AB554" t="s">
        <v>87</v>
      </c>
      <c r="AC554">
        <v>4</v>
      </c>
      <c r="AD554" t="s">
        <v>105</v>
      </c>
      <c r="AE554" t="s">
        <v>20</v>
      </c>
      <c r="AF554" t="str">
        <f t="shared" si="17"/>
        <v>Yes</v>
      </c>
    </row>
    <row r="555" spans="1:32" x14ac:dyDescent="0.3">
      <c r="A555" t="s">
        <v>1103</v>
      </c>
      <c r="B555" s="1">
        <v>45743</v>
      </c>
      <c r="C555" t="s">
        <v>121</v>
      </c>
      <c r="D555">
        <f t="shared" si="16"/>
        <v>9</v>
      </c>
      <c r="E555" t="s">
        <v>72</v>
      </c>
      <c r="F555" t="s">
        <v>3</v>
      </c>
      <c r="G555" t="s">
        <v>98</v>
      </c>
      <c r="H555" t="s">
        <v>159</v>
      </c>
      <c r="I555" t="s">
        <v>160</v>
      </c>
      <c r="J555" t="s">
        <v>161</v>
      </c>
      <c r="K555" t="s">
        <v>167</v>
      </c>
      <c r="L555" t="s">
        <v>801</v>
      </c>
      <c r="M555" t="s">
        <v>261</v>
      </c>
      <c r="N555" t="s">
        <v>11</v>
      </c>
      <c r="O555">
        <v>24</v>
      </c>
      <c r="P555" t="s">
        <v>76</v>
      </c>
      <c r="Q555" t="s">
        <v>141</v>
      </c>
      <c r="R555" t="s">
        <v>142</v>
      </c>
      <c r="S555" t="s">
        <v>111</v>
      </c>
      <c r="T555" t="s">
        <v>16</v>
      </c>
      <c r="U555">
        <v>4</v>
      </c>
      <c r="V555">
        <v>35</v>
      </c>
      <c r="W555">
        <v>77</v>
      </c>
      <c r="X555">
        <v>0</v>
      </c>
      <c r="Y555">
        <v>308</v>
      </c>
      <c r="Z555">
        <v>168</v>
      </c>
      <c r="AA555" t="s">
        <v>36</v>
      </c>
      <c r="AB555" t="s">
        <v>44</v>
      </c>
      <c r="AC555">
        <v>5</v>
      </c>
      <c r="AD555" t="s">
        <v>105</v>
      </c>
      <c r="AE555" t="s">
        <v>20</v>
      </c>
      <c r="AF555" t="str">
        <f t="shared" si="17"/>
        <v>Yes</v>
      </c>
    </row>
    <row r="556" spans="1:32" x14ac:dyDescent="0.3">
      <c r="A556" t="s">
        <v>1104</v>
      </c>
      <c r="B556" s="1">
        <v>45786</v>
      </c>
      <c r="C556" t="s">
        <v>174</v>
      </c>
      <c r="D556">
        <f t="shared" si="16"/>
        <v>17</v>
      </c>
      <c r="E556" t="s">
        <v>47</v>
      </c>
      <c r="F556" t="s">
        <v>48</v>
      </c>
      <c r="G556" t="s">
        <v>40</v>
      </c>
      <c r="H556" t="s">
        <v>61</v>
      </c>
      <c r="I556" t="s">
        <v>62</v>
      </c>
      <c r="J556" t="s">
        <v>7</v>
      </c>
      <c r="K556" t="s">
        <v>245</v>
      </c>
      <c r="L556" t="s">
        <v>367</v>
      </c>
      <c r="M556" t="s">
        <v>169</v>
      </c>
      <c r="N556" t="s">
        <v>11</v>
      </c>
      <c r="O556">
        <v>43</v>
      </c>
      <c r="P556" t="s">
        <v>54</v>
      </c>
      <c r="Q556" t="s">
        <v>364</v>
      </c>
      <c r="R556" t="s">
        <v>365</v>
      </c>
      <c r="S556" t="s">
        <v>187</v>
      </c>
      <c r="T556" t="s">
        <v>35</v>
      </c>
      <c r="U556">
        <v>4</v>
      </c>
      <c r="V556">
        <v>28</v>
      </c>
      <c r="W556">
        <v>84</v>
      </c>
      <c r="X556">
        <v>15</v>
      </c>
      <c r="Y556">
        <v>285.60000000000002</v>
      </c>
      <c r="Z556">
        <v>173.6</v>
      </c>
      <c r="AA556" t="s">
        <v>43</v>
      </c>
      <c r="AB556" t="s">
        <v>44</v>
      </c>
      <c r="AD556" t="s">
        <v>105</v>
      </c>
      <c r="AE556" t="s">
        <v>95</v>
      </c>
      <c r="AF556" t="str">
        <f t="shared" si="17"/>
        <v>No</v>
      </c>
    </row>
    <row r="557" spans="1:32" x14ac:dyDescent="0.3">
      <c r="A557" t="s">
        <v>1105</v>
      </c>
      <c r="B557" s="1">
        <v>45688</v>
      </c>
      <c r="C557" t="s">
        <v>554</v>
      </c>
      <c r="D557">
        <f t="shared" si="16"/>
        <v>11</v>
      </c>
      <c r="E557" t="s">
        <v>2</v>
      </c>
      <c r="F557" t="s">
        <v>3</v>
      </c>
      <c r="G557" t="s">
        <v>40</v>
      </c>
      <c r="H557" t="s">
        <v>150</v>
      </c>
      <c r="I557" t="s">
        <v>151</v>
      </c>
      <c r="J557" t="s">
        <v>152</v>
      </c>
      <c r="K557" t="s">
        <v>352</v>
      </c>
      <c r="L557" t="s">
        <v>84</v>
      </c>
      <c r="M557" t="s">
        <v>10</v>
      </c>
      <c r="N557" t="s">
        <v>11</v>
      </c>
      <c r="O557">
        <v>60</v>
      </c>
      <c r="P557" t="s">
        <v>12</v>
      </c>
      <c r="Q557" t="s">
        <v>77</v>
      </c>
      <c r="R557" t="s">
        <v>78</v>
      </c>
      <c r="S557" t="s">
        <v>68</v>
      </c>
      <c r="T557" t="s">
        <v>16</v>
      </c>
      <c r="U557">
        <v>2</v>
      </c>
      <c r="V557">
        <v>35</v>
      </c>
      <c r="W557">
        <v>105</v>
      </c>
      <c r="X557">
        <v>0</v>
      </c>
      <c r="Y557">
        <v>210</v>
      </c>
      <c r="Z557">
        <v>140</v>
      </c>
      <c r="AA557" t="s">
        <v>36</v>
      </c>
      <c r="AB557" t="s">
        <v>119</v>
      </c>
      <c r="AC557">
        <v>4</v>
      </c>
      <c r="AD557" t="s">
        <v>105</v>
      </c>
      <c r="AE557" t="s">
        <v>20</v>
      </c>
      <c r="AF557" t="str">
        <f t="shared" si="17"/>
        <v>Yes</v>
      </c>
    </row>
    <row r="558" spans="1:32" x14ac:dyDescent="0.3">
      <c r="A558" t="s">
        <v>1106</v>
      </c>
      <c r="B558" s="1">
        <v>45721</v>
      </c>
      <c r="C558" t="s">
        <v>349</v>
      </c>
      <c r="D558">
        <f t="shared" si="16"/>
        <v>21</v>
      </c>
      <c r="E558" t="s">
        <v>72</v>
      </c>
      <c r="F558" t="s">
        <v>3</v>
      </c>
      <c r="G558" t="s">
        <v>73</v>
      </c>
      <c r="H558" t="s">
        <v>24</v>
      </c>
      <c r="I558" t="s">
        <v>25</v>
      </c>
      <c r="J558" t="s">
        <v>26</v>
      </c>
      <c r="K558" t="s">
        <v>270</v>
      </c>
      <c r="L558" t="s">
        <v>580</v>
      </c>
      <c r="M558" t="s">
        <v>169</v>
      </c>
      <c r="N558" t="s">
        <v>11</v>
      </c>
      <c r="O558">
        <v>20</v>
      </c>
      <c r="P558" t="s">
        <v>12</v>
      </c>
      <c r="Q558" t="s">
        <v>267</v>
      </c>
      <c r="R558" t="s">
        <v>268</v>
      </c>
      <c r="S558" t="s">
        <v>15</v>
      </c>
      <c r="T558" t="s">
        <v>35</v>
      </c>
      <c r="U558">
        <v>3</v>
      </c>
      <c r="V558">
        <v>87</v>
      </c>
      <c r="W558">
        <v>261</v>
      </c>
      <c r="X558">
        <v>5</v>
      </c>
      <c r="Y558">
        <v>743.85</v>
      </c>
      <c r="Z558">
        <v>482.85</v>
      </c>
      <c r="AA558" t="s">
        <v>69</v>
      </c>
      <c r="AB558" t="s">
        <v>18</v>
      </c>
      <c r="AC558">
        <v>4</v>
      </c>
      <c r="AD558" t="s">
        <v>105</v>
      </c>
      <c r="AE558" t="s">
        <v>20</v>
      </c>
      <c r="AF558" t="str">
        <f t="shared" si="17"/>
        <v>Yes</v>
      </c>
    </row>
    <row r="559" spans="1:32" x14ac:dyDescent="0.3">
      <c r="A559" t="s">
        <v>1107</v>
      </c>
      <c r="B559" s="1">
        <v>45813</v>
      </c>
      <c r="C559" t="s">
        <v>283</v>
      </c>
      <c r="D559">
        <f t="shared" si="16"/>
        <v>14</v>
      </c>
      <c r="E559" t="s">
        <v>131</v>
      </c>
      <c r="F559" t="s">
        <v>48</v>
      </c>
      <c r="G559" t="s">
        <v>98</v>
      </c>
      <c r="H559" t="s">
        <v>122</v>
      </c>
      <c r="I559" t="s">
        <v>123</v>
      </c>
      <c r="J559" t="s">
        <v>7</v>
      </c>
      <c r="K559" t="s">
        <v>245</v>
      </c>
      <c r="L559" t="s">
        <v>430</v>
      </c>
      <c r="M559" t="s">
        <v>29</v>
      </c>
      <c r="N559" t="s">
        <v>30</v>
      </c>
      <c r="O559">
        <v>41</v>
      </c>
      <c r="P559" t="s">
        <v>54</v>
      </c>
      <c r="Q559" t="s">
        <v>506</v>
      </c>
      <c r="R559" t="s">
        <v>507</v>
      </c>
      <c r="S559" t="s">
        <v>118</v>
      </c>
      <c r="T559" t="s">
        <v>16</v>
      </c>
      <c r="U559">
        <v>3</v>
      </c>
      <c r="V559">
        <v>39</v>
      </c>
      <c r="W559">
        <v>109.2</v>
      </c>
      <c r="X559">
        <v>0</v>
      </c>
      <c r="Y559">
        <v>327.60000000000002</v>
      </c>
      <c r="Z559">
        <v>210.6</v>
      </c>
      <c r="AA559" t="s">
        <v>69</v>
      </c>
      <c r="AB559" t="s">
        <v>44</v>
      </c>
      <c r="AC559">
        <v>5</v>
      </c>
      <c r="AD559" t="s">
        <v>105</v>
      </c>
      <c r="AE559" t="s">
        <v>20</v>
      </c>
      <c r="AF559" t="str">
        <f t="shared" si="17"/>
        <v>Yes</v>
      </c>
    </row>
    <row r="560" spans="1:32" x14ac:dyDescent="0.3">
      <c r="A560" t="s">
        <v>1108</v>
      </c>
      <c r="B560" s="1">
        <v>45715</v>
      </c>
      <c r="C560" t="s">
        <v>199</v>
      </c>
      <c r="D560">
        <f t="shared" si="16"/>
        <v>10</v>
      </c>
      <c r="E560" t="s">
        <v>145</v>
      </c>
      <c r="F560" t="s">
        <v>3</v>
      </c>
      <c r="G560" t="s">
        <v>98</v>
      </c>
      <c r="H560" t="s">
        <v>81</v>
      </c>
      <c r="I560" t="s">
        <v>82</v>
      </c>
      <c r="J560" t="s">
        <v>7</v>
      </c>
      <c r="K560" t="s">
        <v>229</v>
      </c>
      <c r="L560" t="s">
        <v>1109</v>
      </c>
      <c r="M560" t="s">
        <v>65</v>
      </c>
      <c r="N560" t="s">
        <v>30</v>
      </c>
      <c r="O560">
        <v>22</v>
      </c>
      <c r="P560" t="s">
        <v>12</v>
      </c>
      <c r="Q560" t="s">
        <v>252</v>
      </c>
      <c r="R560" t="s">
        <v>253</v>
      </c>
      <c r="S560" t="s">
        <v>178</v>
      </c>
      <c r="T560" t="s">
        <v>35</v>
      </c>
      <c r="U560">
        <v>4</v>
      </c>
      <c r="V560">
        <v>82</v>
      </c>
      <c r="W560">
        <v>205</v>
      </c>
      <c r="X560">
        <v>10</v>
      </c>
      <c r="Y560">
        <v>738</v>
      </c>
      <c r="Z560">
        <v>410</v>
      </c>
      <c r="AA560" t="s">
        <v>17</v>
      </c>
      <c r="AB560" t="s">
        <v>119</v>
      </c>
      <c r="AC560">
        <v>4</v>
      </c>
      <c r="AD560" t="s">
        <v>105</v>
      </c>
      <c r="AE560" t="s">
        <v>95</v>
      </c>
      <c r="AF560" t="str">
        <f t="shared" si="17"/>
        <v>No</v>
      </c>
    </row>
    <row r="561" spans="1:32" x14ac:dyDescent="0.3">
      <c r="A561" t="s">
        <v>1110</v>
      </c>
      <c r="B561" s="1">
        <v>45748</v>
      </c>
      <c r="C561" t="s">
        <v>59</v>
      </c>
      <c r="D561">
        <f t="shared" si="16"/>
        <v>16</v>
      </c>
      <c r="E561" t="s">
        <v>60</v>
      </c>
      <c r="F561" t="s">
        <v>48</v>
      </c>
      <c r="G561" t="s">
        <v>181</v>
      </c>
      <c r="H561" t="s">
        <v>150</v>
      </c>
      <c r="I561" t="s">
        <v>151</v>
      </c>
      <c r="J561" t="s">
        <v>152</v>
      </c>
      <c r="K561" t="s">
        <v>182</v>
      </c>
      <c r="L561" t="s">
        <v>326</v>
      </c>
      <c r="M561" t="s">
        <v>225</v>
      </c>
      <c r="N561" t="s">
        <v>30</v>
      </c>
      <c r="O561">
        <v>44</v>
      </c>
      <c r="P561" t="s">
        <v>12</v>
      </c>
      <c r="Q561" t="s">
        <v>358</v>
      </c>
      <c r="R561" t="s">
        <v>359</v>
      </c>
      <c r="S561" t="s">
        <v>15</v>
      </c>
      <c r="T561" t="s">
        <v>35</v>
      </c>
      <c r="U561">
        <v>2</v>
      </c>
      <c r="V561">
        <v>55</v>
      </c>
      <c r="W561">
        <v>137.5</v>
      </c>
      <c r="X561">
        <v>15</v>
      </c>
      <c r="Y561">
        <v>233.75</v>
      </c>
      <c r="Z561">
        <v>123.75</v>
      </c>
      <c r="AA561" t="s">
        <v>17</v>
      </c>
      <c r="AB561" t="s">
        <v>44</v>
      </c>
      <c r="AC561">
        <v>4</v>
      </c>
      <c r="AD561" t="s">
        <v>105</v>
      </c>
      <c r="AE561" t="s">
        <v>95</v>
      </c>
      <c r="AF561" t="str">
        <f t="shared" si="17"/>
        <v>No</v>
      </c>
    </row>
    <row r="562" spans="1:32" x14ac:dyDescent="0.3">
      <c r="A562" t="s">
        <v>1111</v>
      </c>
      <c r="B562" s="1">
        <v>45692</v>
      </c>
      <c r="C562" t="s">
        <v>214</v>
      </c>
      <c r="D562">
        <f t="shared" si="16"/>
        <v>7</v>
      </c>
      <c r="E562" t="s">
        <v>145</v>
      </c>
      <c r="F562" t="s">
        <v>3</v>
      </c>
      <c r="G562" t="s">
        <v>181</v>
      </c>
      <c r="H562" t="s">
        <v>164</v>
      </c>
      <c r="I562" t="s">
        <v>165</v>
      </c>
      <c r="J562" t="s">
        <v>166</v>
      </c>
      <c r="K562" t="s">
        <v>153</v>
      </c>
      <c r="L562" t="s">
        <v>277</v>
      </c>
      <c r="M562" t="s">
        <v>261</v>
      </c>
      <c r="N562" t="s">
        <v>30</v>
      </c>
      <c r="O562">
        <v>59</v>
      </c>
      <c r="P562" t="s">
        <v>31</v>
      </c>
      <c r="Q562" t="s">
        <v>506</v>
      </c>
      <c r="R562" t="s">
        <v>507</v>
      </c>
      <c r="S562" t="s">
        <v>118</v>
      </c>
      <c r="T562" t="s">
        <v>16</v>
      </c>
      <c r="U562">
        <v>1</v>
      </c>
      <c r="V562">
        <v>39</v>
      </c>
      <c r="W562">
        <v>109.2</v>
      </c>
      <c r="X562">
        <v>15</v>
      </c>
      <c r="Y562">
        <v>92.82</v>
      </c>
      <c r="Z562">
        <v>53.82</v>
      </c>
      <c r="AA562" t="s">
        <v>179</v>
      </c>
      <c r="AB562" t="s">
        <v>37</v>
      </c>
      <c r="AC562">
        <v>5</v>
      </c>
      <c r="AD562" t="s">
        <v>19</v>
      </c>
      <c r="AE562" t="s">
        <v>20</v>
      </c>
      <c r="AF562" t="str">
        <f t="shared" si="17"/>
        <v>Yes</v>
      </c>
    </row>
    <row r="563" spans="1:32" x14ac:dyDescent="0.3">
      <c r="A563" t="s">
        <v>1112</v>
      </c>
      <c r="B563" s="1">
        <v>45749</v>
      </c>
      <c r="C563" t="s">
        <v>373</v>
      </c>
      <c r="D563">
        <f t="shared" si="16"/>
        <v>9</v>
      </c>
      <c r="E563" t="s">
        <v>60</v>
      </c>
      <c r="F563" t="s">
        <v>48</v>
      </c>
      <c r="G563" t="s">
        <v>73</v>
      </c>
      <c r="H563" t="s">
        <v>5</v>
      </c>
      <c r="I563" t="s">
        <v>6</v>
      </c>
      <c r="J563" t="s">
        <v>7</v>
      </c>
      <c r="K563" t="s">
        <v>107</v>
      </c>
      <c r="L563" t="s">
        <v>811</v>
      </c>
      <c r="M563" t="s">
        <v>140</v>
      </c>
      <c r="N563" t="s">
        <v>30</v>
      </c>
      <c r="O563">
        <v>27</v>
      </c>
      <c r="P563" t="s">
        <v>91</v>
      </c>
      <c r="Q563" t="s">
        <v>193</v>
      </c>
      <c r="R563" t="s">
        <v>194</v>
      </c>
      <c r="S563" t="s">
        <v>172</v>
      </c>
      <c r="T563" t="s">
        <v>35</v>
      </c>
      <c r="U563">
        <v>1</v>
      </c>
      <c r="V563">
        <v>35</v>
      </c>
      <c r="W563">
        <v>87.5</v>
      </c>
      <c r="X563">
        <v>5</v>
      </c>
      <c r="Y563">
        <v>83.12</v>
      </c>
      <c r="Z563">
        <v>48.12</v>
      </c>
      <c r="AA563" t="s">
        <v>179</v>
      </c>
      <c r="AB563" t="s">
        <v>119</v>
      </c>
      <c r="AC563">
        <v>4</v>
      </c>
      <c r="AD563" t="s">
        <v>105</v>
      </c>
      <c r="AE563" t="s">
        <v>95</v>
      </c>
      <c r="AF563" t="str">
        <f t="shared" si="17"/>
        <v>No</v>
      </c>
    </row>
    <row r="564" spans="1:32" x14ac:dyDescent="0.3">
      <c r="A564" t="s">
        <v>1113</v>
      </c>
      <c r="B564" s="1">
        <v>45672</v>
      </c>
      <c r="C564" t="s">
        <v>474</v>
      </c>
      <c r="D564">
        <f t="shared" si="16"/>
        <v>12</v>
      </c>
      <c r="E564" t="s">
        <v>2</v>
      </c>
      <c r="F564" t="s">
        <v>3</v>
      </c>
      <c r="G564" t="s">
        <v>73</v>
      </c>
      <c r="H564" t="s">
        <v>99</v>
      </c>
      <c r="I564" t="s">
        <v>100</v>
      </c>
      <c r="J564" t="s">
        <v>101</v>
      </c>
      <c r="K564" t="s">
        <v>311</v>
      </c>
      <c r="L564" t="s">
        <v>1092</v>
      </c>
      <c r="M564" t="s">
        <v>261</v>
      </c>
      <c r="N564" t="s">
        <v>11</v>
      </c>
      <c r="O564">
        <v>63</v>
      </c>
      <c r="P564" t="s">
        <v>54</v>
      </c>
      <c r="Q564" t="s">
        <v>141</v>
      </c>
      <c r="R564" t="s">
        <v>142</v>
      </c>
      <c r="S564" t="s">
        <v>111</v>
      </c>
      <c r="T564" t="s">
        <v>16</v>
      </c>
      <c r="U564">
        <v>2</v>
      </c>
      <c r="V564">
        <v>35</v>
      </c>
      <c r="W564">
        <v>77</v>
      </c>
      <c r="X564">
        <v>5</v>
      </c>
      <c r="Y564">
        <v>146.30000000000001</v>
      </c>
      <c r="Z564">
        <v>76.3</v>
      </c>
      <c r="AA564" t="s">
        <v>36</v>
      </c>
      <c r="AB564" t="s">
        <v>87</v>
      </c>
      <c r="AC564">
        <v>4</v>
      </c>
      <c r="AD564" t="s">
        <v>105</v>
      </c>
      <c r="AE564" t="s">
        <v>20</v>
      </c>
      <c r="AF564" t="str">
        <f t="shared" si="17"/>
        <v>Yes</v>
      </c>
    </row>
    <row r="565" spans="1:32" x14ac:dyDescent="0.3">
      <c r="A565" t="s">
        <v>1114</v>
      </c>
      <c r="B565" s="1">
        <v>45679</v>
      </c>
      <c r="C565" t="s">
        <v>417</v>
      </c>
      <c r="D565">
        <f t="shared" si="16"/>
        <v>16</v>
      </c>
      <c r="E565" t="s">
        <v>2</v>
      </c>
      <c r="F565" t="s">
        <v>3</v>
      </c>
      <c r="G565" t="s">
        <v>73</v>
      </c>
      <c r="H565" t="s">
        <v>122</v>
      </c>
      <c r="I565" t="s">
        <v>123</v>
      </c>
      <c r="J565" t="s">
        <v>7</v>
      </c>
      <c r="K565" t="s">
        <v>107</v>
      </c>
      <c r="L565" t="s">
        <v>1115</v>
      </c>
      <c r="M565" t="s">
        <v>29</v>
      </c>
      <c r="N565" t="s">
        <v>11</v>
      </c>
      <c r="O565">
        <v>54</v>
      </c>
      <c r="P565" t="s">
        <v>12</v>
      </c>
      <c r="Q565" t="s">
        <v>103</v>
      </c>
      <c r="R565" t="s">
        <v>104</v>
      </c>
      <c r="S565" t="s">
        <v>94</v>
      </c>
      <c r="T565" t="s">
        <v>35</v>
      </c>
      <c r="U565">
        <v>3</v>
      </c>
      <c r="V565">
        <v>57</v>
      </c>
      <c r="W565">
        <v>159.6</v>
      </c>
      <c r="X565">
        <v>0</v>
      </c>
      <c r="Y565">
        <v>478.8</v>
      </c>
      <c r="Z565">
        <v>307.8</v>
      </c>
      <c r="AA565" t="s">
        <v>17</v>
      </c>
      <c r="AB565" t="s">
        <v>37</v>
      </c>
      <c r="AC565">
        <v>4</v>
      </c>
      <c r="AD565" t="s">
        <v>105</v>
      </c>
      <c r="AE565" t="s">
        <v>20</v>
      </c>
      <c r="AF565" t="str">
        <f t="shared" si="17"/>
        <v>Yes</v>
      </c>
    </row>
    <row r="566" spans="1:32" x14ac:dyDescent="0.3">
      <c r="A566" t="s">
        <v>1116</v>
      </c>
      <c r="B566" s="1">
        <v>45733</v>
      </c>
      <c r="C566" t="s">
        <v>121</v>
      </c>
      <c r="D566">
        <f t="shared" si="16"/>
        <v>9</v>
      </c>
      <c r="E566" t="s">
        <v>72</v>
      </c>
      <c r="F566" t="s">
        <v>3</v>
      </c>
      <c r="G566" t="s">
        <v>23</v>
      </c>
      <c r="H566" t="s">
        <v>122</v>
      </c>
      <c r="I566" t="s">
        <v>123</v>
      </c>
      <c r="J566" t="s">
        <v>7</v>
      </c>
      <c r="K566" t="s">
        <v>229</v>
      </c>
      <c r="L566" t="s">
        <v>1117</v>
      </c>
      <c r="M566" t="s">
        <v>162</v>
      </c>
      <c r="N566" t="s">
        <v>11</v>
      </c>
      <c r="O566">
        <v>39</v>
      </c>
      <c r="P566" t="s">
        <v>31</v>
      </c>
      <c r="Q566" t="s">
        <v>295</v>
      </c>
      <c r="R566" t="s">
        <v>296</v>
      </c>
      <c r="S566" t="s">
        <v>57</v>
      </c>
      <c r="T566" t="s">
        <v>35</v>
      </c>
      <c r="U566">
        <v>4</v>
      </c>
      <c r="V566">
        <v>62</v>
      </c>
      <c r="W566">
        <v>186</v>
      </c>
      <c r="X566">
        <v>0</v>
      </c>
      <c r="Y566">
        <v>744</v>
      </c>
      <c r="Z566">
        <v>496</v>
      </c>
      <c r="AA566" t="s">
        <v>36</v>
      </c>
      <c r="AB566" t="s">
        <v>87</v>
      </c>
      <c r="AC566">
        <v>4</v>
      </c>
      <c r="AD566" t="s">
        <v>105</v>
      </c>
      <c r="AE566" t="s">
        <v>20</v>
      </c>
      <c r="AF566" t="str">
        <f t="shared" si="17"/>
        <v>Yes</v>
      </c>
    </row>
    <row r="567" spans="1:32" x14ac:dyDescent="0.3">
      <c r="A567" t="s">
        <v>1118</v>
      </c>
      <c r="B567" s="1">
        <v>45817</v>
      </c>
      <c r="C567" t="s">
        <v>202</v>
      </c>
      <c r="D567">
        <f t="shared" si="16"/>
        <v>11</v>
      </c>
      <c r="E567" t="s">
        <v>131</v>
      </c>
      <c r="F567" t="s">
        <v>48</v>
      </c>
      <c r="G567" t="s">
        <v>23</v>
      </c>
      <c r="H567" t="s">
        <v>164</v>
      </c>
      <c r="I567" t="s">
        <v>165</v>
      </c>
      <c r="J567" t="s">
        <v>166</v>
      </c>
      <c r="K567" t="s">
        <v>270</v>
      </c>
      <c r="L567" t="s">
        <v>1083</v>
      </c>
      <c r="M567" t="s">
        <v>10</v>
      </c>
      <c r="N567" t="s">
        <v>30</v>
      </c>
      <c r="O567">
        <v>59</v>
      </c>
      <c r="P567" t="s">
        <v>76</v>
      </c>
      <c r="Q567" t="s">
        <v>66</v>
      </c>
      <c r="R567" t="s">
        <v>67</v>
      </c>
      <c r="S567" t="s">
        <v>68</v>
      </c>
      <c r="T567" t="s">
        <v>16</v>
      </c>
      <c r="U567">
        <v>2</v>
      </c>
      <c r="V567">
        <v>43</v>
      </c>
      <c r="W567">
        <v>120.4</v>
      </c>
      <c r="X567">
        <v>5</v>
      </c>
      <c r="Y567">
        <v>228.76</v>
      </c>
      <c r="Z567">
        <v>142.76</v>
      </c>
      <c r="AA567" t="s">
        <v>36</v>
      </c>
      <c r="AB567" t="s">
        <v>37</v>
      </c>
      <c r="AC567">
        <v>4</v>
      </c>
      <c r="AD567" t="s">
        <v>105</v>
      </c>
      <c r="AE567" t="s">
        <v>20</v>
      </c>
      <c r="AF567" t="str">
        <f t="shared" si="17"/>
        <v>Yes</v>
      </c>
    </row>
    <row r="568" spans="1:32" x14ac:dyDescent="0.3">
      <c r="A568" t="s">
        <v>1119</v>
      </c>
      <c r="B568" s="1">
        <v>45782</v>
      </c>
      <c r="C568" t="s">
        <v>121</v>
      </c>
      <c r="D568">
        <f t="shared" si="16"/>
        <v>9</v>
      </c>
      <c r="E568" t="s">
        <v>47</v>
      </c>
      <c r="F568" t="s">
        <v>48</v>
      </c>
      <c r="G568" t="s">
        <v>23</v>
      </c>
      <c r="H568" t="s">
        <v>61</v>
      </c>
      <c r="I568" t="s">
        <v>62</v>
      </c>
      <c r="J568" t="s">
        <v>7</v>
      </c>
      <c r="K568" t="s">
        <v>138</v>
      </c>
      <c r="L568" t="s">
        <v>804</v>
      </c>
      <c r="M568" t="s">
        <v>184</v>
      </c>
      <c r="N568" t="s">
        <v>30</v>
      </c>
      <c r="O568">
        <v>49</v>
      </c>
      <c r="P568" t="s">
        <v>12</v>
      </c>
      <c r="Q568" t="s">
        <v>66</v>
      </c>
      <c r="R568" t="s">
        <v>67</v>
      </c>
      <c r="S568" t="s">
        <v>68</v>
      </c>
      <c r="T568" t="s">
        <v>16</v>
      </c>
      <c r="U568">
        <v>3</v>
      </c>
      <c r="V568">
        <v>43</v>
      </c>
      <c r="W568">
        <v>120.4</v>
      </c>
      <c r="X568">
        <v>0</v>
      </c>
      <c r="Y568">
        <v>361.2</v>
      </c>
      <c r="Z568">
        <v>232.2</v>
      </c>
      <c r="AA568" t="s">
        <v>17</v>
      </c>
      <c r="AB568" t="s">
        <v>37</v>
      </c>
      <c r="AC568">
        <v>4</v>
      </c>
      <c r="AD568" t="s">
        <v>19</v>
      </c>
      <c r="AE568" t="s">
        <v>95</v>
      </c>
      <c r="AF568" t="str">
        <f t="shared" si="17"/>
        <v>No</v>
      </c>
    </row>
    <row r="569" spans="1:32" x14ac:dyDescent="0.3">
      <c r="A569" t="s">
        <v>1120</v>
      </c>
      <c r="B569" s="1">
        <v>45679</v>
      </c>
      <c r="C569" t="s">
        <v>158</v>
      </c>
      <c r="D569">
        <f t="shared" si="16"/>
        <v>8</v>
      </c>
      <c r="E569" t="s">
        <v>2</v>
      </c>
      <c r="F569" t="s">
        <v>3</v>
      </c>
      <c r="G569" t="s">
        <v>73</v>
      </c>
      <c r="H569" t="s">
        <v>5</v>
      </c>
      <c r="I569" t="s">
        <v>6</v>
      </c>
      <c r="J569" t="s">
        <v>7</v>
      </c>
      <c r="K569" t="s">
        <v>83</v>
      </c>
      <c r="L569" t="s">
        <v>1121</v>
      </c>
      <c r="M569" t="s">
        <v>10</v>
      </c>
      <c r="N569" t="s">
        <v>11</v>
      </c>
      <c r="O569">
        <v>36</v>
      </c>
      <c r="P569" t="s">
        <v>91</v>
      </c>
      <c r="Q569" t="s">
        <v>211</v>
      </c>
      <c r="R569" t="s">
        <v>212</v>
      </c>
      <c r="S569" t="s">
        <v>128</v>
      </c>
      <c r="T569" t="s">
        <v>16</v>
      </c>
      <c r="U569">
        <v>1</v>
      </c>
      <c r="V569">
        <v>50</v>
      </c>
      <c r="W569">
        <v>140</v>
      </c>
      <c r="X569">
        <v>0</v>
      </c>
      <c r="Y569">
        <v>140</v>
      </c>
      <c r="Z569">
        <v>90</v>
      </c>
      <c r="AA569" t="s">
        <v>36</v>
      </c>
      <c r="AB569" t="s">
        <v>119</v>
      </c>
      <c r="AC569">
        <v>5</v>
      </c>
      <c r="AD569" t="s">
        <v>105</v>
      </c>
      <c r="AE569" t="s">
        <v>95</v>
      </c>
      <c r="AF569" t="str">
        <f t="shared" si="17"/>
        <v>No</v>
      </c>
    </row>
    <row r="570" spans="1:32" x14ac:dyDescent="0.3">
      <c r="A570" t="s">
        <v>1122</v>
      </c>
      <c r="B570" s="1">
        <v>45758</v>
      </c>
      <c r="C570" t="s">
        <v>144</v>
      </c>
      <c r="D570">
        <f t="shared" si="16"/>
        <v>20</v>
      </c>
      <c r="E570" t="s">
        <v>60</v>
      </c>
      <c r="F570" t="s">
        <v>48</v>
      </c>
      <c r="G570" t="s">
        <v>40</v>
      </c>
      <c r="H570" t="s">
        <v>122</v>
      </c>
      <c r="I570" t="s">
        <v>123</v>
      </c>
      <c r="J570" t="s">
        <v>7</v>
      </c>
      <c r="K570" t="s">
        <v>229</v>
      </c>
      <c r="L570" t="s">
        <v>904</v>
      </c>
      <c r="M570" t="s">
        <v>184</v>
      </c>
      <c r="N570" t="s">
        <v>30</v>
      </c>
      <c r="O570">
        <v>44</v>
      </c>
      <c r="P570" t="s">
        <v>91</v>
      </c>
      <c r="Q570" t="s">
        <v>134</v>
      </c>
      <c r="R570" t="s">
        <v>135</v>
      </c>
      <c r="S570" t="s">
        <v>136</v>
      </c>
      <c r="T570" t="s">
        <v>35</v>
      </c>
      <c r="U570">
        <v>2</v>
      </c>
      <c r="V570">
        <v>20</v>
      </c>
      <c r="W570">
        <v>60</v>
      </c>
      <c r="X570">
        <v>5</v>
      </c>
      <c r="Y570">
        <v>114</v>
      </c>
      <c r="Z570">
        <v>74</v>
      </c>
      <c r="AA570" t="s">
        <v>17</v>
      </c>
      <c r="AB570" t="s">
        <v>129</v>
      </c>
      <c r="AC570">
        <v>3</v>
      </c>
      <c r="AD570" t="s">
        <v>19</v>
      </c>
      <c r="AE570" t="s">
        <v>20</v>
      </c>
      <c r="AF570" t="str">
        <f t="shared" si="17"/>
        <v>Yes</v>
      </c>
    </row>
    <row r="571" spans="1:32" x14ac:dyDescent="0.3">
      <c r="A571" t="s">
        <v>1123</v>
      </c>
      <c r="B571" s="1">
        <v>45761</v>
      </c>
      <c r="C571" t="s">
        <v>189</v>
      </c>
      <c r="D571">
        <f t="shared" si="16"/>
        <v>9</v>
      </c>
      <c r="E571" t="s">
        <v>60</v>
      </c>
      <c r="F571" t="s">
        <v>48</v>
      </c>
      <c r="G571" t="s">
        <v>23</v>
      </c>
      <c r="H571" t="s">
        <v>81</v>
      </c>
      <c r="I571" t="s">
        <v>82</v>
      </c>
      <c r="J571" t="s">
        <v>7</v>
      </c>
      <c r="K571" t="s">
        <v>318</v>
      </c>
      <c r="L571" t="s">
        <v>1004</v>
      </c>
      <c r="M571" t="s">
        <v>162</v>
      </c>
      <c r="N571" t="s">
        <v>30</v>
      </c>
      <c r="O571">
        <v>38</v>
      </c>
      <c r="P571" t="s">
        <v>91</v>
      </c>
      <c r="Q571" t="s">
        <v>211</v>
      </c>
      <c r="R571" t="s">
        <v>212</v>
      </c>
      <c r="S571" t="s">
        <v>128</v>
      </c>
      <c r="T571" t="s">
        <v>16</v>
      </c>
      <c r="U571">
        <v>1</v>
      </c>
      <c r="V571">
        <v>50</v>
      </c>
      <c r="W571">
        <v>140</v>
      </c>
      <c r="X571">
        <v>10</v>
      </c>
      <c r="Y571">
        <v>126</v>
      </c>
      <c r="Z571">
        <v>76</v>
      </c>
      <c r="AA571" t="s">
        <v>69</v>
      </c>
      <c r="AB571" t="s">
        <v>87</v>
      </c>
      <c r="AC571">
        <v>4</v>
      </c>
      <c r="AD571" t="s">
        <v>105</v>
      </c>
      <c r="AE571" t="s">
        <v>20</v>
      </c>
      <c r="AF571" t="str">
        <f t="shared" si="17"/>
        <v>Yes</v>
      </c>
    </row>
    <row r="572" spans="1:32" x14ac:dyDescent="0.3">
      <c r="A572" t="s">
        <v>1124</v>
      </c>
      <c r="B572" s="1">
        <v>45693</v>
      </c>
      <c r="C572" t="s">
        <v>97</v>
      </c>
      <c r="D572">
        <f t="shared" si="16"/>
        <v>7</v>
      </c>
      <c r="E572" t="s">
        <v>145</v>
      </c>
      <c r="F572" t="s">
        <v>3</v>
      </c>
      <c r="G572" t="s">
        <v>73</v>
      </c>
      <c r="H572" t="s">
        <v>49</v>
      </c>
      <c r="I572" t="s">
        <v>50</v>
      </c>
      <c r="J572" t="s">
        <v>7</v>
      </c>
      <c r="K572" t="s">
        <v>346</v>
      </c>
      <c r="L572" t="s">
        <v>1125</v>
      </c>
      <c r="M572" t="s">
        <v>261</v>
      </c>
      <c r="N572" t="s">
        <v>30</v>
      </c>
      <c r="O572">
        <v>29</v>
      </c>
      <c r="P572" t="s">
        <v>31</v>
      </c>
      <c r="Q572" t="s">
        <v>134</v>
      </c>
      <c r="R572" t="s">
        <v>135</v>
      </c>
      <c r="S572" t="s">
        <v>136</v>
      </c>
      <c r="T572" t="s">
        <v>35</v>
      </c>
      <c r="U572">
        <v>2</v>
      </c>
      <c r="V572">
        <v>20</v>
      </c>
      <c r="W572">
        <v>60</v>
      </c>
      <c r="X572">
        <v>10</v>
      </c>
      <c r="Y572">
        <v>108</v>
      </c>
      <c r="Z572">
        <v>68</v>
      </c>
      <c r="AA572" t="s">
        <v>69</v>
      </c>
      <c r="AB572" t="s">
        <v>87</v>
      </c>
      <c r="AC572">
        <v>5</v>
      </c>
      <c r="AD572" t="s">
        <v>19</v>
      </c>
      <c r="AE572" t="s">
        <v>20</v>
      </c>
      <c r="AF572" t="str">
        <f t="shared" si="17"/>
        <v>Yes</v>
      </c>
    </row>
    <row r="573" spans="1:32" x14ac:dyDescent="0.3">
      <c r="A573" t="s">
        <v>1126</v>
      </c>
      <c r="B573" s="1">
        <v>45825</v>
      </c>
      <c r="C573" t="s">
        <v>214</v>
      </c>
      <c r="D573">
        <f t="shared" si="16"/>
        <v>7</v>
      </c>
      <c r="E573" t="s">
        <v>131</v>
      </c>
      <c r="F573" t="s">
        <v>48</v>
      </c>
      <c r="G573" t="s">
        <v>181</v>
      </c>
      <c r="H573" t="s">
        <v>81</v>
      </c>
      <c r="I573" t="s">
        <v>82</v>
      </c>
      <c r="J573" t="s">
        <v>7</v>
      </c>
      <c r="K573" t="s">
        <v>318</v>
      </c>
      <c r="L573" t="s">
        <v>731</v>
      </c>
      <c r="M573" t="s">
        <v>184</v>
      </c>
      <c r="N573" t="s">
        <v>30</v>
      </c>
      <c r="O573">
        <v>63</v>
      </c>
      <c r="P573" t="s">
        <v>91</v>
      </c>
      <c r="Q573" t="s">
        <v>211</v>
      </c>
      <c r="R573" t="s">
        <v>212</v>
      </c>
      <c r="S573" t="s">
        <v>128</v>
      </c>
      <c r="T573" t="s">
        <v>16</v>
      </c>
      <c r="U573">
        <v>1</v>
      </c>
      <c r="V573">
        <v>50</v>
      </c>
      <c r="W573">
        <v>140</v>
      </c>
      <c r="X573">
        <v>5</v>
      </c>
      <c r="Y573">
        <v>133</v>
      </c>
      <c r="Z573">
        <v>83</v>
      </c>
      <c r="AA573" t="s">
        <v>36</v>
      </c>
      <c r="AB573" t="s">
        <v>37</v>
      </c>
      <c r="AC573">
        <v>4</v>
      </c>
      <c r="AD573" t="s">
        <v>105</v>
      </c>
      <c r="AE573" t="s">
        <v>95</v>
      </c>
      <c r="AF573" t="str">
        <f t="shared" si="17"/>
        <v>No</v>
      </c>
    </row>
    <row r="574" spans="1:32" x14ac:dyDescent="0.3">
      <c r="A574" t="s">
        <v>1127</v>
      </c>
      <c r="B574" s="1">
        <v>45811</v>
      </c>
      <c r="C574" t="s">
        <v>345</v>
      </c>
      <c r="D574">
        <f t="shared" si="16"/>
        <v>18</v>
      </c>
      <c r="E574" t="s">
        <v>131</v>
      </c>
      <c r="F574" t="s">
        <v>48</v>
      </c>
      <c r="G574" t="s">
        <v>181</v>
      </c>
      <c r="H574" t="s">
        <v>122</v>
      </c>
      <c r="I574" t="s">
        <v>123</v>
      </c>
      <c r="J574" t="s">
        <v>7</v>
      </c>
      <c r="K574" t="s">
        <v>27</v>
      </c>
      <c r="L574" t="s">
        <v>818</v>
      </c>
      <c r="M574" t="s">
        <v>162</v>
      </c>
      <c r="N574" t="s">
        <v>30</v>
      </c>
      <c r="O574">
        <v>30</v>
      </c>
      <c r="P574" t="s">
        <v>12</v>
      </c>
      <c r="Q574" t="s">
        <v>364</v>
      </c>
      <c r="R574" t="s">
        <v>365</v>
      </c>
      <c r="S574" t="s">
        <v>187</v>
      </c>
      <c r="T574" t="s">
        <v>35</v>
      </c>
      <c r="U574">
        <v>4</v>
      </c>
      <c r="V574">
        <v>28</v>
      </c>
      <c r="W574">
        <v>84</v>
      </c>
      <c r="X574">
        <v>0</v>
      </c>
      <c r="Y574">
        <v>336</v>
      </c>
      <c r="Z574">
        <v>224</v>
      </c>
      <c r="AA574" t="s">
        <v>69</v>
      </c>
      <c r="AB574" t="s">
        <v>129</v>
      </c>
      <c r="AC574">
        <v>4</v>
      </c>
      <c r="AD574" t="s">
        <v>105</v>
      </c>
      <c r="AE574" t="s">
        <v>20</v>
      </c>
      <c r="AF574" t="str">
        <f t="shared" si="17"/>
        <v>Yes</v>
      </c>
    </row>
    <row r="575" spans="1:32" x14ac:dyDescent="0.3">
      <c r="A575" t="s">
        <v>1128</v>
      </c>
      <c r="B575" s="1">
        <v>45795</v>
      </c>
      <c r="C575" t="s">
        <v>758</v>
      </c>
      <c r="D575">
        <f t="shared" si="16"/>
        <v>12</v>
      </c>
      <c r="E575" t="s">
        <v>47</v>
      </c>
      <c r="F575" t="s">
        <v>48</v>
      </c>
      <c r="G575" t="s">
        <v>4</v>
      </c>
      <c r="H575" t="s">
        <v>61</v>
      </c>
      <c r="I575" t="s">
        <v>62</v>
      </c>
      <c r="J575" t="s">
        <v>7</v>
      </c>
      <c r="K575" t="s">
        <v>346</v>
      </c>
      <c r="L575" t="s">
        <v>1032</v>
      </c>
      <c r="M575" t="s">
        <v>53</v>
      </c>
      <c r="N575" t="s">
        <v>11</v>
      </c>
      <c r="O575">
        <v>39</v>
      </c>
      <c r="P575" t="s">
        <v>54</v>
      </c>
      <c r="Q575" t="s">
        <v>431</v>
      </c>
      <c r="R575" t="s">
        <v>432</v>
      </c>
      <c r="S575" t="s">
        <v>172</v>
      </c>
      <c r="T575" t="s">
        <v>35</v>
      </c>
      <c r="U575">
        <v>3</v>
      </c>
      <c r="V575">
        <v>77</v>
      </c>
      <c r="W575">
        <v>192.5</v>
      </c>
      <c r="X575">
        <v>10</v>
      </c>
      <c r="Y575">
        <v>519.75</v>
      </c>
      <c r="Z575">
        <v>288.75</v>
      </c>
      <c r="AA575" t="s">
        <v>43</v>
      </c>
      <c r="AB575" t="s">
        <v>44</v>
      </c>
      <c r="AC575">
        <v>4</v>
      </c>
      <c r="AD575" t="s">
        <v>105</v>
      </c>
      <c r="AE575" t="s">
        <v>20</v>
      </c>
      <c r="AF575" t="str">
        <f t="shared" si="17"/>
        <v>Yes</v>
      </c>
    </row>
    <row r="576" spans="1:32" x14ac:dyDescent="0.3">
      <c r="A576" t="s">
        <v>1129</v>
      </c>
      <c r="B576" s="1">
        <v>45788</v>
      </c>
      <c r="C576" t="s">
        <v>71</v>
      </c>
      <c r="D576">
        <f t="shared" si="16"/>
        <v>10</v>
      </c>
      <c r="E576" t="s">
        <v>47</v>
      </c>
      <c r="F576" t="s">
        <v>48</v>
      </c>
      <c r="G576" t="s">
        <v>4</v>
      </c>
      <c r="H576" t="s">
        <v>61</v>
      </c>
      <c r="I576" t="s">
        <v>62</v>
      </c>
      <c r="J576" t="s">
        <v>7</v>
      </c>
      <c r="K576" t="s">
        <v>270</v>
      </c>
      <c r="L576" t="s">
        <v>809</v>
      </c>
      <c r="M576" t="s">
        <v>29</v>
      </c>
      <c r="N576" t="s">
        <v>11</v>
      </c>
      <c r="O576">
        <v>53</v>
      </c>
      <c r="P576" t="s">
        <v>54</v>
      </c>
      <c r="Q576" t="s">
        <v>126</v>
      </c>
      <c r="R576" t="s">
        <v>127</v>
      </c>
      <c r="S576" t="s">
        <v>128</v>
      </c>
      <c r="T576" t="s">
        <v>35</v>
      </c>
      <c r="U576">
        <v>3</v>
      </c>
      <c r="V576">
        <v>69</v>
      </c>
      <c r="W576">
        <v>193.2</v>
      </c>
      <c r="X576">
        <v>0</v>
      </c>
      <c r="Y576">
        <v>579.6</v>
      </c>
      <c r="Z576">
        <v>372.6</v>
      </c>
      <c r="AA576" t="s">
        <v>17</v>
      </c>
      <c r="AB576" t="s">
        <v>87</v>
      </c>
      <c r="AC576">
        <v>4</v>
      </c>
      <c r="AD576" t="s">
        <v>19</v>
      </c>
      <c r="AE576" t="s">
        <v>20</v>
      </c>
      <c r="AF576" t="str">
        <f t="shared" si="17"/>
        <v>Yes</v>
      </c>
    </row>
    <row r="577" spans="1:32" x14ac:dyDescent="0.3">
      <c r="A577" t="s">
        <v>1130</v>
      </c>
      <c r="B577" s="1">
        <v>45695</v>
      </c>
      <c r="C577" t="s">
        <v>351</v>
      </c>
      <c r="D577">
        <f t="shared" si="16"/>
        <v>9</v>
      </c>
      <c r="E577" t="s">
        <v>145</v>
      </c>
      <c r="F577" t="s">
        <v>3</v>
      </c>
      <c r="G577" t="s">
        <v>40</v>
      </c>
      <c r="H577" t="s">
        <v>150</v>
      </c>
      <c r="I577" t="s">
        <v>151</v>
      </c>
      <c r="J577" t="s">
        <v>152</v>
      </c>
      <c r="K577" t="s">
        <v>196</v>
      </c>
      <c r="L577" t="s">
        <v>446</v>
      </c>
      <c r="M577" t="s">
        <v>184</v>
      </c>
      <c r="N577" t="s">
        <v>30</v>
      </c>
      <c r="O577">
        <v>26</v>
      </c>
      <c r="P577" t="s">
        <v>54</v>
      </c>
      <c r="Q577" t="s">
        <v>300</v>
      </c>
      <c r="R577" t="s">
        <v>301</v>
      </c>
      <c r="S577" t="s">
        <v>187</v>
      </c>
      <c r="T577" t="s">
        <v>35</v>
      </c>
      <c r="U577">
        <v>2</v>
      </c>
      <c r="V577">
        <v>86</v>
      </c>
      <c r="W577">
        <v>258</v>
      </c>
      <c r="X577">
        <v>5</v>
      </c>
      <c r="Y577">
        <v>490.2</v>
      </c>
      <c r="Z577">
        <v>318.2</v>
      </c>
      <c r="AA577" t="s">
        <v>17</v>
      </c>
      <c r="AB577" t="s">
        <v>44</v>
      </c>
      <c r="AC577">
        <v>5</v>
      </c>
      <c r="AD577" t="s">
        <v>19</v>
      </c>
      <c r="AE577" t="s">
        <v>20</v>
      </c>
      <c r="AF577" t="str">
        <f t="shared" si="17"/>
        <v>Yes</v>
      </c>
    </row>
    <row r="578" spans="1:32" x14ac:dyDescent="0.3">
      <c r="A578" t="s">
        <v>1131</v>
      </c>
      <c r="B578" s="1">
        <v>45669</v>
      </c>
      <c r="C578" t="s">
        <v>537</v>
      </c>
      <c r="D578">
        <f t="shared" ref="D578:D641" si="18">HOUR(C578)</f>
        <v>8</v>
      </c>
      <c r="E578" t="s">
        <v>2</v>
      </c>
      <c r="F578" t="s">
        <v>3</v>
      </c>
      <c r="G578" t="s">
        <v>4</v>
      </c>
      <c r="H578" t="s">
        <v>159</v>
      </c>
      <c r="I578" t="s">
        <v>160</v>
      </c>
      <c r="J578" t="s">
        <v>161</v>
      </c>
      <c r="K578" t="s">
        <v>311</v>
      </c>
      <c r="L578" t="s">
        <v>224</v>
      </c>
      <c r="M578" t="s">
        <v>225</v>
      </c>
      <c r="N578" t="s">
        <v>30</v>
      </c>
      <c r="O578">
        <v>31</v>
      </c>
      <c r="P578" t="s">
        <v>91</v>
      </c>
      <c r="Q578" t="s">
        <v>85</v>
      </c>
      <c r="R578" t="s">
        <v>86</v>
      </c>
      <c r="S578" t="s">
        <v>34</v>
      </c>
      <c r="T578" t="s">
        <v>16</v>
      </c>
      <c r="U578">
        <v>4</v>
      </c>
      <c r="V578">
        <v>27</v>
      </c>
      <c r="W578">
        <v>81</v>
      </c>
      <c r="X578">
        <v>10</v>
      </c>
      <c r="Y578">
        <v>291.60000000000002</v>
      </c>
      <c r="Z578">
        <v>183.6</v>
      </c>
      <c r="AA578" t="s">
        <v>36</v>
      </c>
      <c r="AB578" t="s">
        <v>87</v>
      </c>
      <c r="AD578" t="s">
        <v>19</v>
      </c>
      <c r="AE578" t="s">
        <v>95</v>
      </c>
      <c r="AF578" t="str">
        <f t="shared" si="17"/>
        <v>No</v>
      </c>
    </row>
    <row r="579" spans="1:32" x14ac:dyDescent="0.3">
      <c r="A579" t="s">
        <v>1132</v>
      </c>
      <c r="B579" s="1">
        <v>45698</v>
      </c>
      <c r="C579" t="s">
        <v>22</v>
      </c>
      <c r="D579">
        <f t="shared" si="18"/>
        <v>7</v>
      </c>
      <c r="E579" t="s">
        <v>145</v>
      </c>
      <c r="F579" t="s">
        <v>3</v>
      </c>
      <c r="G579" t="s">
        <v>23</v>
      </c>
      <c r="H579" t="s">
        <v>5</v>
      </c>
      <c r="I579" t="s">
        <v>6</v>
      </c>
      <c r="J579" t="s">
        <v>7</v>
      </c>
      <c r="K579" t="s">
        <v>27</v>
      </c>
      <c r="L579" t="s">
        <v>926</v>
      </c>
      <c r="M579" t="s">
        <v>261</v>
      </c>
      <c r="N579" t="s">
        <v>11</v>
      </c>
      <c r="O579">
        <v>41</v>
      </c>
      <c r="P579" t="s">
        <v>31</v>
      </c>
      <c r="Q579" t="s">
        <v>55</v>
      </c>
      <c r="R579" t="s">
        <v>56</v>
      </c>
      <c r="S579" t="s">
        <v>57</v>
      </c>
      <c r="T579" t="s">
        <v>35</v>
      </c>
      <c r="U579">
        <v>3</v>
      </c>
      <c r="V579">
        <v>36</v>
      </c>
      <c r="W579">
        <v>79.2</v>
      </c>
      <c r="X579">
        <v>5</v>
      </c>
      <c r="Y579">
        <v>225.72</v>
      </c>
      <c r="Z579">
        <v>117.72</v>
      </c>
      <c r="AA579" t="s">
        <v>17</v>
      </c>
      <c r="AB579" t="s">
        <v>44</v>
      </c>
      <c r="AC579">
        <v>4</v>
      </c>
      <c r="AD579" t="s">
        <v>19</v>
      </c>
      <c r="AE579" t="s">
        <v>20</v>
      </c>
      <c r="AF579" t="str">
        <f t="shared" si="17"/>
        <v>Yes</v>
      </c>
    </row>
    <row r="580" spans="1:32" x14ac:dyDescent="0.3">
      <c r="A580" t="s">
        <v>1133</v>
      </c>
      <c r="B580" s="1">
        <v>45819</v>
      </c>
      <c r="C580" t="s">
        <v>22</v>
      </c>
      <c r="D580">
        <f t="shared" si="18"/>
        <v>7</v>
      </c>
      <c r="E580" t="s">
        <v>131</v>
      </c>
      <c r="F580" t="s">
        <v>48</v>
      </c>
      <c r="G580" t="s">
        <v>73</v>
      </c>
      <c r="H580" t="s">
        <v>150</v>
      </c>
      <c r="I580" t="s">
        <v>151</v>
      </c>
      <c r="J580" t="s">
        <v>152</v>
      </c>
      <c r="K580" t="s">
        <v>27</v>
      </c>
      <c r="L580" t="s">
        <v>1134</v>
      </c>
      <c r="M580" t="s">
        <v>261</v>
      </c>
      <c r="N580" t="s">
        <v>11</v>
      </c>
      <c r="O580">
        <v>52</v>
      </c>
      <c r="P580" t="s">
        <v>91</v>
      </c>
      <c r="Q580" t="s">
        <v>141</v>
      </c>
      <c r="R580" t="s">
        <v>142</v>
      </c>
      <c r="S580" t="s">
        <v>111</v>
      </c>
      <c r="T580" t="s">
        <v>16</v>
      </c>
      <c r="U580">
        <v>3</v>
      </c>
      <c r="V580">
        <v>35</v>
      </c>
      <c r="W580">
        <v>77</v>
      </c>
      <c r="X580">
        <v>10</v>
      </c>
      <c r="Y580">
        <v>207.9</v>
      </c>
      <c r="Z580">
        <v>102.9</v>
      </c>
      <c r="AA580" t="s">
        <v>36</v>
      </c>
      <c r="AB580" t="s">
        <v>129</v>
      </c>
      <c r="AC580">
        <v>4</v>
      </c>
      <c r="AD580" t="s">
        <v>105</v>
      </c>
      <c r="AE580" t="s">
        <v>20</v>
      </c>
      <c r="AF580" t="str">
        <f t="shared" ref="AF580:AF643" si="19">IF(AE580="Completed","Yes",IF(AE580="Cancelled","No","Review"))</f>
        <v>Yes</v>
      </c>
    </row>
    <row r="581" spans="1:32" x14ac:dyDescent="0.3">
      <c r="A581" t="s">
        <v>1135</v>
      </c>
      <c r="B581" s="1">
        <v>45749</v>
      </c>
      <c r="C581" t="s">
        <v>121</v>
      </c>
      <c r="D581">
        <f t="shared" si="18"/>
        <v>9</v>
      </c>
      <c r="E581" t="s">
        <v>60</v>
      </c>
      <c r="F581" t="s">
        <v>48</v>
      </c>
      <c r="G581" t="s">
        <v>73</v>
      </c>
      <c r="H581" t="s">
        <v>99</v>
      </c>
      <c r="I581" t="s">
        <v>100</v>
      </c>
      <c r="J581" t="s">
        <v>101</v>
      </c>
      <c r="K581" t="s">
        <v>51</v>
      </c>
      <c r="L581" t="s">
        <v>1115</v>
      </c>
      <c r="M581" t="s">
        <v>53</v>
      </c>
      <c r="N581" t="s">
        <v>30</v>
      </c>
      <c r="O581">
        <v>22</v>
      </c>
      <c r="P581" t="s">
        <v>54</v>
      </c>
      <c r="Q581" t="s">
        <v>374</v>
      </c>
      <c r="R581" t="s">
        <v>375</v>
      </c>
      <c r="S581" t="s">
        <v>57</v>
      </c>
      <c r="T581" t="s">
        <v>16</v>
      </c>
      <c r="U581">
        <v>1</v>
      </c>
      <c r="V581">
        <v>80</v>
      </c>
      <c r="W581">
        <v>200</v>
      </c>
      <c r="X581">
        <v>5</v>
      </c>
      <c r="Y581">
        <v>190</v>
      </c>
      <c r="Z581">
        <v>110</v>
      </c>
      <c r="AA581" t="s">
        <v>36</v>
      </c>
      <c r="AB581" t="s">
        <v>87</v>
      </c>
      <c r="AD581" t="s">
        <v>105</v>
      </c>
      <c r="AE581" t="s">
        <v>20</v>
      </c>
      <c r="AF581" t="str">
        <f t="shared" si="19"/>
        <v>Yes</v>
      </c>
    </row>
    <row r="582" spans="1:32" x14ac:dyDescent="0.3">
      <c r="A582" t="s">
        <v>1136</v>
      </c>
      <c r="B582" s="1">
        <v>45783</v>
      </c>
      <c r="C582" t="s">
        <v>463</v>
      </c>
      <c r="D582">
        <f t="shared" si="18"/>
        <v>12</v>
      </c>
      <c r="E582" t="s">
        <v>47</v>
      </c>
      <c r="F582" t="s">
        <v>48</v>
      </c>
      <c r="G582" t="s">
        <v>181</v>
      </c>
      <c r="H582" t="s">
        <v>150</v>
      </c>
      <c r="I582" t="s">
        <v>151</v>
      </c>
      <c r="J582" t="s">
        <v>152</v>
      </c>
      <c r="K582" t="s">
        <v>41</v>
      </c>
      <c r="L582" t="s">
        <v>448</v>
      </c>
      <c r="M582" t="s">
        <v>184</v>
      </c>
      <c r="N582" t="s">
        <v>30</v>
      </c>
      <c r="O582">
        <v>30</v>
      </c>
      <c r="P582" t="s">
        <v>31</v>
      </c>
      <c r="Q582" t="s">
        <v>66</v>
      </c>
      <c r="R582" t="s">
        <v>67</v>
      </c>
      <c r="S582" t="s">
        <v>68</v>
      </c>
      <c r="T582" t="s">
        <v>16</v>
      </c>
      <c r="U582">
        <v>2</v>
      </c>
      <c r="V582">
        <v>43</v>
      </c>
      <c r="W582">
        <v>120.4</v>
      </c>
      <c r="X582">
        <v>5</v>
      </c>
      <c r="Y582">
        <v>228.76</v>
      </c>
      <c r="Z582">
        <v>142.76</v>
      </c>
      <c r="AA582" t="s">
        <v>36</v>
      </c>
      <c r="AB582" t="s">
        <v>18</v>
      </c>
      <c r="AC582">
        <v>4</v>
      </c>
      <c r="AD582" t="s">
        <v>19</v>
      </c>
      <c r="AE582" t="s">
        <v>20</v>
      </c>
      <c r="AF582" t="str">
        <f t="shared" si="19"/>
        <v>Yes</v>
      </c>
    </row>
    <row r="583" spans="1:32" x14ac:dyDescent="0.3">
      <c r="A583" t="s">
        <v>1137</v>
      </c>
      <c r="B583" s="1">
        <v>45831</v>
      </c>
      <c r="C583" t="s">
        <v>407</v>
      </c>
      <c r="D583">
        <f t="shared" si="18"/>
        <v>8</v>
      </c>
      <c r="E583" t="s">
        <v>131</v>
      </c>
      <c r="F583" t="s">
        <v>48</v>
      </c>
      <c r="G583" t="s">
        <v>23</v>
      </c>
      <c r="H583" t="s">
        <v>150</v>
      </c>
      <c r="I583" t="s">
        <v>151</v>
      </c>
      <c r="J583" t="s">
        <v>152</v>
      </c>
      <c r="K583" t="s">
        <v>107</v>
      </c>
      <c r="L583" t="s">
        <v>835</v>
      </c>
      <c r="M583" t="s">
        <v>29</v>
      </c>
      <c r="N583" t="s">
        <v>30</v>
      </c>
      <c r="O583">
        <v>50</v>
      </c>
      <c r="P583" t="s">
        <v>76</v>
      </c>
      <c r="Q583" t="s">
        <v>252</v>
      </c>
      <c r="R583" t="s">
        <v>253</v>
      </c>
      <c r="S583" t="s">
        <v>178</v>
      </c>
      <c r="T583" t="s">
        <v>35</v>
      </c>
      <c r="U583">
        <v>4</v>
      </c>
      <c r="V583">
        <v>82</v>
      </c>
      <c r="W583">
        <v>205</v>
      </c>
      <c r="X583">
        <v>5</v>
      </c>
      <c r="Y583">
        <v>779</v>
      </c>
      <c r="Z583">
        <v>451</v>
      </c>
      <c r="AA583" t="s">
        <v>36</v>
      </c>
      <c r="AB583" t="s">
        <v>37</v>
      </c>
      <c r="AC583">
        <v>4</v>
      </c>
      <c r="AD583" t="s">
        <v>105</v>
      </c>
      <c r="AE583" t="s">
        <v>20</v>
      </c>
      <c r="AF583" t="str">
        <f t="shared" si="19"/>
        <v>Yes</v>
      </c>
    </row>
    <row r="584" spans="1:32" x14ac:dyDescent="0.3">
      <c r="A584" t="s">
        <v>1138</v>
      </c>
      <c r="B584" s="1">
        <v>45716</v>
      </c>
      <c r="C584" t="s">
        <v>407</v>
      </c>
      <c r="D584">
        <f t="shared" si="18"/>
        <v>8</v>
      </c>
      <c r="E584" t="s">
        <v>145</v>
      </c>
      <c r="F584" t="s">
        <v>3</v>
      </c>
      <c r="G584" t="s">
        <v>40</v>
      </c>
      <c r="H584" t="s">
        <v>122</v>
      </c>
      <c r="I584" t="s">
        <v>123</v>
      </c>
      <c r="J584" t="s">
        <v>7</v>
      </c>
      <c r="K584" t="s">
        <v>138</v>
      </c>
      <c r="L584" t="s">
        <v>665</v>
      </c>
      <c r="M584" t="s">
        <v>184</v>
      </c>
      <c r="N584" t="s">
        <v>11</v>
      </c>
      <c r="O584">
        <v>50</v>
      </c>
      <c r="P584" t="s">
        <v>54</v>
      </c>
      <c r="Q584" t="s">
        <v>85</v>
      </c>
      <c r="R584" t="s">
        <v>86</v>
      </c>
      <c r="S584" t="s">
        <v>34</v>
      </c>
      <c r="T584" t="s">
        <v>16</v>
      </c>
      <c r="U584">
        <v>2</v>
      </c>
      <c r="V584">
        <v>27</v>
      </c>
      <c r="W584">
        <v>81</v>
      </c>
      <c r="X584">
        <v>15</v>
      </c>
      <c r="Y584">
        <v>137.69999999999999</v>
      </c>
      <c r="Z584">
        <v>83.7</v>
      </c>
      <c r="AA584" t="s">
        <v>69</v>
      </c>
      <c r="AB584" t="s">
        <v>44</v>
      </c>
      <c r="AC584">
        <v>4</v>
      </c>
      <c r="AD584" t="s">
        <v>19</v>
      </c>
      <c r="AE584" t="s">
        <v>20</v>
      </c>
      <c r="AF584" t="str">
        <f t="shared" si="19"/>
        <v>Yes</v>
      </c>
    </row>
    <row r="585" spans="1:32" x14ac:dyDescent="0.3">
      <c r="A585" t="s">
        <v>1139</v>
      </c>
      <c r="B585" s="1">
        <v>45763</v>
      </c>
      <c r="C585" t="s">
        <v>1</v>
      </c>
      <c r="D585">
        <f t="shared" si="18"/>
        <v>19</v>
      </c>
      <c r="E585" t="s">
        <v>60</v>
      </c>
      <c r="F585" t="s">
        <v>48</v>
      </c>
      <c r="G585" t="s">
        <v>73</v>
      </c>
      <c r="H585" t="s">
        <v>5</v>
      </c>
      <c r="I585" t="s">
        <v>6</v>
      </c>
      <c r="J585" t="s">
        <v>7</v>
      </c>
      <c r="K585" t="s">
        <v>306</v>
      </c>
      <c r="L585" t="s">
        <v>200</v>
      </c>
      <c r="M585" t="s">
        <v>225</v>
      </c>
      <c r="N585" t="s">
        <v>11</v>
      </c>
      <c r="O585">
        <v>27</v>
      </c>
      <c r="P585" t="s">
        <v>31</v>
      </c>
      <c r="Q585" t="s">
        <v>431</v>
      </c>
      <c r="R585" t="s">
        <v>432</v>
      </c>
      <c r="S585" t="s">
        <v>172</v>
      </c>
      <c r="T585" t="s">
        <v>35</v>
      </c>
      <c r="U585">
        <v>2</v>
      </c>
      <c r="V585">
        <v>77</v>
      </c>
      <c r="W585">
        <v>192.5</v>
      </c>
      <c r="X585">
        <v>5</v>
      </c>
      <c r="Y585">
        <v>365.75</v>
      </c>
      <c r="Z585">
        <v>211.75</v>
      </c>
      <c r="AA585" t="s">
        <v>17</v>
      </c>
      <c r="AB585" t="s">
        <v>119</v>
      </c>
      <c r="AC585">
        <v>3</v>
      </c>
      <c r="AD585" t="s">
        <v>19</v>
      </c>
      <c r="AE585" t="s">
        <v>20</v>
      </c>
      <c r="AF585" t="str">
        <f t="shared" si="19"/>
        <v>Yes</v>
      </c>
    </row>
    <row r="586" spans="1:32" x14ac:dyDescent="0.3">
      <c r="A586" t="s">
        <v>1140</v>
      </c>
      <c r="B586" s="1">
        <v>45668</v>
      </c>
      <c r="C586" t="s">
        <v>407</v>
      </c>
      <c r="D586">
        <f t="shared" si="18"/>
        <v>8</v>
      </c>
      <c r="E586" t="s">
        <v>2</v>
      </c>
      <c r="F586" t="s">
        <v>3</v>
      </c>
      <c r="G586" t="s">
        <v>132</v>
      </c>
      <c r="H586" t="s">
        <v>122</v>
      </c>
      <c r="I586" t="s">
        <v>123</v>
      </c>
      <c r="J586" t="s">
        <v>7</v>
      </c>
      <c r="K586" t="s">
        <v>74</v>
      </c>
      <c r="L586" t="s">
        <v>9</v>
      </c>
      <c r="M586" t="s">
        <v>162</v>
      </c>
      <c r="N586" t="s">
        <v>11</v>
      </c>
      <c r="O586">
        <v>40</v>
      </c>
      <c r="P586" t="s">
        <v>76</v>
      </c>
      <c r="Q586" t="s">
        <v>109</v>
      </c>
      <c r="R586" t="s">
        <v>110</v>
      </c>
      <c r="S586" t="s">
        <v>111</v>
      </c>
      <c r="T586" t="s">
        <v>16</v>
      </c>
      <c r="U586">
        <v>4</v>
      </c>
      <c r="V586">
        <v>83</v>
      </c>
      <c r="W586">
        <v>182.6</v>
      </c>
      <c r="X586">
        <v>5</v>
      </c>
      <c r="Y586">
        <v>693.88</v>
      </c>
      <c r="Z586">
        <v>361.88</v>
      </c>
      <c r="AA586" t="s">
        <v>179</v>
      </c>
      <c r="AB586" t="s">
        <v>18</v>
      </c>
      <c r="AC586">
        <v>5</v>
      </c>
      <c r="AD586" t="s">
        <v>105</v>
      </c>
      <c r="AE586" t="s">
        <v>20</v>
      </c>
      <c r="AF586" t="str">
        <f t="shared" si="19"/>
        <v>Yes</v>
      </c>
    </row>
    <row r="587" spans="1:32" x14ac:dyDescent="0.3">
      <c r="A587" t="s">
        <v>1141</v>
      </c>
      <c r="B587" s="1">
        <v>45787</v>
      </c>
      <c r="C587" t="s">
        <v>39</v>
      </c>
      <c r="D587">
        <f t="shared" si="18"/>
        <v>18</v>
      </c>
      <c r="E587" t="s">
        <v>47</v>
      </c>
      <c r="F587" t="s">
        <v>48</v>
      </c>
      <c r="G587" t="s">
        <v>132</v>
      </c>
      <c r="H587" t="s">
        <v>164</v>
      </c>
      <c r="I587" t="s">
        <v>165</v>
      </c>
      <c r="J587" t="s">
        <v>166</v>
      </c>
      <c r="K587" t="s">
        <v>346</v>
      </c>
      <c r="L587" t="s">
        <v>1142</v>
      </c>
      <c r="M587" t="s">
        <v>29</v>
      </c>
      <c r="N587" t="s">
        <v>30</v>
      </c>
      <c r="O587">
        <v>41</v>
      </c>
      <c r="P587" t="s">
        <v>12</v>
      </c>
      <c r="Q587" t="s">
        <v>267</v>
      </c>
      <c r="R587" t="s">
        <v>268</v>
      </c>
      <c r="S587" t="s">
        <v>15</v>
      </c>
      <c r="T587" t="s">
        <v>35</v>
      </c>
      <c r="U587">
        <v>1</v>
      </c>
      <c r="V587">
        <v>87</v>
      </c>
      <c r="W587">
        <v>261</v>
      </c>
      <c r="X587">
        <v>10</v>
      </c>
      <c r="Y587">
        <v>234.9</v>
      </c>
      <c r="Z587">
        <v>147.9</v>
      </c>
      <c r="AA587" t="s">
        <v>43</v>
      </c>
      <c r="AB587" t="s">
        <v>129</v>
      </c>
      <c r="AC587">
        <v>4</v>
      </c>
      <c r="AD587" t="s">
        <v>105</v>
      </c>
      <c r="AE587" t="s">
        <v>20</v>
      </c>
      <c r="AF587" t="str">
        <f t="shared" si="19"/>
        <v>Yes</v>
      </c>
    </row>
    <row r="588" spans="1:32" x14ac:dyDescent="0.3">
      <c r="A588" t="s">
        <v>1143</v>
      </c>
      <c r="B588" s="1">
        <v>45709</v>
      </c>
      <c r="C588" t="s">
        <v>71</v>
      </c>
      <c r="D588">
        <f t="shared" si="18"/>
        <v>10</v>
      </c>
      <c r="E588" t="s">
        <v>145</v>
      </c>
      <c r="F588" t="s">
        <v>3</v>
      </c>
      <c r="G588" t="s">
        <v>40</v>
      </c>
      <c r="H588" t="s">
        <v>99</v>
      </c>
      <c r="I588" t="s">
        <v>100</v>
      </c>
      <c r="J588" t="s">
        <v>101</v>
      </c>
      <c r="K588" t="s">
        <v>182</v>
      </c>
      <c r="L588" t="s">
        <v>736</v>
      </c>
      <c r="M588" t="s">
        <v>53</v>
      </c>
      <c r="N588" t="s">
        <v>30</v>
      </c>
      <c r="O588">
        <v>65</v>
      </c>
      <c r="P588" t="s">
        <v>54</v>
      </c>
      <c r="Q588" t="s">
        <v>272</v>
      </c>
      <c r="R588" t="s">
        <v>273</v>
      </c>
      <c r="S588" t="s">
        <v>57</v>
      </c>
      <c r="T588" t="s">
        <v>16</v>
      </c>
      <c r="U588">
        <v>1</v>
      </c>
      <c r="V588">
        <v>55</v>
      </c>
      <c r="W588">
        <v>154</v>
      </c>
      <c r="X588">
        <v>0</v>
      </c>
      <c r="Y588">
        <v>154</v>
      </c>
      <c r="Z588">
        <v>99</v>
      </c>
      <c r="AA588" t="s">
        <v>36</v>
      </c>
      <c r="AB588" t="s">
        <v>18</v>
      </c>
      <c r="AC588">
        <v>4</v>
      </c>
      <c r="AD588" t="s">
        <v>105</v>
      </c>
      <c r="AE588" t="s">
        <v>20</v>
      </c>
      <c r="AF588" t="str">
        <f t="shared" si="19"/>
        <v>Yes</v>
      </c>
    </row>
    <row r="589" spans="1:32" x14ac:dyDescent="0.3">
      <c r="A589" t="s">
        <v>1144</v>
      </c>
      <c r="B589" s="1">
        <v>45783</v>
      </c>
      <c r="C589" t="s">
        <v>259</v>
      </c>
      <c r="D589">
        <f t="shared" si="18"/>
        <v>18</v>
      </c>
      <c r="E589" t="s">
        <v>47</v>
      </c>
      <c r="F589" t="s">
        <v>48</v>
      </c>
      <c r="G589" t="s">
        <v>181</v>
      </c>
      <c r="H589" t="s">
        <v>81</v>
      </c>
      <c r="I589" t="s">
        <v>82</v>
      </c>
      <c r="J589" t="s">
        <v>7</v>
      </c>
      <c r="K589" t="s">
        <v>229</v>
      </c>
      <c r="L589" t="s">
        <v>271</v>
      </c>
      <c r="M589" t="s">
        <v>169</v>
      </c>
      <c r="N589" t="s">
        <v>11</v>
      </c>
      <c r="O589">
        <v>34</v>
      </c>
      <c r="P589" t="s">
        <v>76</v>
      </c>
      <c r="Q589" t="s">
        <v>308</v>
      </c>
      <c r="R589" t="s">
        <v>309</v>
      </c>
      <c r="S589" t="s">
        <v>187</v>
      </c>
      <c r="T589" t="s">
        <v>35</v>
      </c>
      <c r="U589">
        <v>1</v>
      </c>
      <c r="V589">
        <v>31</v>
      </c>
      <c r="W589">
        <v>77.5</v>
      </c>
      <c r="X589">
        <v>0</v>
      </c>
      <c r="Y589">
        <v>77.5</v>
      </c>
      <c r="Z589">
        <v>46.5</v>
      </c>
      <c r="AA589" t="s">
        <v>179</v>
      </c>
      <c r="AB589" t="s">
        <v>129</v>
      </c>
      <c r="AC589">
        <v>4</v>
      </c>
      <c r="AD589" t="s">
        <v>19</v>
      </c>
      <c r="AE589" t="s">
        <v>20</v>
      </c>
      <c r="AF589" t="str">
        <f t="shared" si="19"/>
        <v>Yes</v>
      </c>
    </row>
    <row r="590" spans="1:32" x14ac:dyDescent="0.3">
      <c r="A590" t="s">
        <v>1145</v>
      </c>
      <c r="B590" s="1">
        <v>45774</v>
      </c>
      <c r="C590" t="s">
        <v>388</v>
      </c>
      <c r="D590">
        <f t="shared" si="18"/>
        <v>19</v>
      </c>
      <c r="E590" t="s">
        <v>60</v>
      </c>
      <c r="F590" t="s">
        <v>48</v>
      </c>
      <c r="G590" t="s">
        <v>4</v>
      </c>
      <c r="H590" t="s">
        <v>122</v>
      </c>
      <c r="I590" t="s">
        <v>123</v>
      </c>
      <c r="J590" t="s">
        <v>7</v>
      </c>
      <c r="K590" t="s">
        <v>107</v>
      </c>
      <c r="L590" t="s">
        <v>200</v>
      </c>
      <c r="M590" t="s">
        <v>162</v>
      </c>
      <c r="N590" t="s">
        <v>30</v>
      </c>
      <c r="O590">
        <v>65</v>
      </c>
      <c r="P590" t="s">
        <v>54</v>
      </c>
      <c r="Q590" t="s">
        <v>141</v>
      </c>
      <c r="R590" t="s">
        <v>142</v>
      </c>
      <c r="S590" t="s">
        <v>111</v>
      </c>
      <c r="T590" t="s">
        <v>16</v>
      </c>
      <c r="U590">
        <v>2</v>
      </c>
      <c r="V590">
        <v>35</v>
      </c>
      <c r="W590">
        <v>77</v>
      </c>
      <c r="X590">
        <v>5</v>
      </c>
      <c r="Y590">
        <v>146.30000000000001</v>
      </c>
      <c r="Z590">
        <v>76.3</v>
      </c>
      <c r="AA590" t="s">
        <v>36</v>
      </c>
      <c r="AB590" t="s">
        <v>87</v>
      </c>
      <c r="AC590">
        <v>4</v>
      </c>
      <c r="AD590" t="s">
        <v>19</v>
      </c>
      <c r="AE590" t="s">
        <v>20</v>
      </c>
      <c r="AF590" t="str">
        <f t="shared" si="19"/>
        <v>Yes</v>
      </c>
    </row>
    <row r="591" spans="1:32" x14ac:dyDescent="0.3">
      <c r="A591" t="s">
        <v>1146</v>
      </c>
      <c r="B591" s="1">
        <v>45690</v>
      </c>
      <c r="C591" t="s">
        <v>97</v>
      </c>
      <c r="D591">
        <f t="shared" si="18"/>
        <v>7</v>
      </c>
      <c r="E591" t="s">
        <v>145</v>
      </c>
      <c r="F591" t="s">
        <v>3</v>
      </c>
      <c r="G591" t="s">
        <v>4</v>
      </c>
      <c r="H591" t="s">
        <v>122</v>
      </c>
      <c r="I591" t="s">
        <v>123</v>
      </c>
      <c r="J591" t="s">
        <v>7</v>
      </c>
      <c r="K591" t="s">
        <v>107</v>
      </c>
      <c r="L591" t="s">
        <v>1147</v>
      </c>
      <c r="M591" t="s">
        <v>65</v>
      </c>
      <c r="N591" t="s">
        <v>30</v>
      </c>
      <c r="O591">
        <v>39</v>
      </c>
      <c r="P591" t="s">
        <v>31</v>
      </c>
      <c r="Q591" t="s">
        <v>358</v>
      </c>
      <c r="R591" t="s">
        <v>359</v>
      </c>
      <c r="S591" t="s">
        <v>15</v>
      </c>
      <c r="T591" t="s">
        <v>35</v>
      </c>
      <c r="U591">
        <v>3</v>
      </c>
      <c r="V591">
        <v>55</v>
      </c>
      <c r="W591">
        <v>137.5</v>
      </c>
      <c r="X591">
        <v>15</v>
      </c>
      <c r="Y591">
        <v>350.62</v>
      </c>
      <c r="Z591">
        <v>185.62</v>
      </c>
      <c r="AA591" t="s">
        <v>43</v>
      </c>
      <c r="AB591" t="s">
        <v>37</v>
      </c>
      <c r="AC591">
        <v>4</v>
      </c>
      <c r="AD591" t="s">
        <v>105</v>
      </c>
      <c r="AE591" t="s">
        <v>20</v>
      </c>
      <c r="AF591" t="str">
        <f t="shared" si="19"/>
        <v>Yes</v>
      </c>
    </row>
    <row r="592" spans="1:32" x14ac:dyDescent="0.3">
      <c r="A592" t="s">
        <v>1148</v>
      </c>
      <c r="B592" s="1">
        <v>45759</v>
      </c>
      <c r="C592" t="s">
        <v>259</v>
      </c>
      <c r="D592">
        <f t="shared" si="18"/>
        <v>18</v>
      </c>
      <c r="E592" t="s">
        <v>60</v>
      </c>
      <c r="F592" t="s">
        <v>48</v>
      </c>
      <c r="G592" t="s">
        <v>132</v>
      </c>
      <c r="H592" t="s">
        <v>99</v>
      </c>
      <c r="I592" t="s">
        <v>100</v>
      </c>
      <c r="J592" t="s">
        <v>101</v>
      </c>
      <c r="K592" t="s">
        <v>107</v>
      </c>
      <c r="L592" t="s">
        <v>439</v>
      </c>
      <c r="M592" t="s">
        <v>10</v>
      </c>
      <c r="N592" t="s">
        <v>30</v>
      </c>
      <c r="O592">
        <v>21</v>
      </c>
      <c r="P592" t="s">
        <v>12</v>
      </c>
      <c r="Q592" t="s">
        <v>155</v>
      </c>
      <c r="R592" t="s">
        <v>156</v>
      </c>
      <c r="S592" t="s">
        <v>34</v>
      </c>
      <c r="T592" t="s">
        <v>16</v>
      </c>
      <c r="U592">
        <v>2</v>
      </c>
      <c r="V592">
        <v>40</v>
      </c>
      <c r="W592">
        <v>100</v>
      </c>
      <c r="X592">
        <v>5</v>
      </c>
      <c r="Y592">
        <v>190</v>
      </c>
      <c r="Z592">
        <v>110</v>
      </c>
      <c r="AA592" t="s">
        <v>36</v>
      </c>
      <c r="AB592" t="s">
        <v>44</v>
      </c>
      <c r="AC592">
        <v>3</v>
      </c>
      <c r="AD592" t="s">
        <v>19</v>
      </c>
      <c r="AE592" t="s">
        <v>20</v>
      </c>
      <c r="AF592" t="str">
        <f t="shared" si="19"/>
        <v>Yes</v>
      </c>
    </row>
    <row r="593" spans="1:32" x14ac:dyDescent="0.3">
      <c r="A593" t="s">
        <v>1149</v>
      </c>
      <c r="B593" s="1">
        <v>45828</v>
      </c>
      <c r="C593" t="s">
        <v>214</v>
      </c>
      <c r="D593">
        <f t="shared" si="18"/>
        <v>7</v>
      </c>
      <c r="E593" t="s">
        <v>131</v>
      </c>
      <c r="F593" t="s">
        <v>48</v>
      </c>
      <c r="G593" t="s">
        <v>40</v>
      </c>
      <c r="H593" t="s">
        <v>81</v>
      </c>
      <c r="I593" t="s">
        <v>82</v>
      </c>
      <c r="J593" t="s">
        <v>7</v>
      </c>
      <c r="K593" t="s">
        <v>27</v>
      </c>
      <c r="L593" t="s">
        <v>615</v>
      </c>
      <c r="M593" t="s">
        <v>140</v>
      </c>
      <c r="N593" t="s">
        <v>11</v>
      </c>
      <c r="O593">
        <v>20</v>
      </c>
      <c r="P593" t="s">
        <v>76</v>
      </c>
      <c r="Q593" t="s">
        <v>272</v>
      </c>
      <c r="R593" t="s">
        <v>273</v>
      </c>
      <c r="S593" t="s">
        <v>57</v>
      </c>
      <c r="T593" t="s">
        <v>16</v>
      </c>
      <c r="U593">
        <v>2</v>
      </c>
      <c r="V593">
        <v>55</v>
      </c>
      <c r="W593">
        <v>154</v>
      </c>
      <c r="X593">
        <v>5</v>
      </c>
      <c r="Y593">
        <v>292.60000000000002</v>
      </c>
      <c r="Z593">
        <v>182.6</v>
      </c>
      <c r="AA593" t="s">
        <v>69</v>
      </c>
      <c r="AB593" t="s">
        <v>44</v>
      </c>
      <c r="AC593">
        <v>4</v>
      </c>
      <c r="AD593" t="s">
        <v>19</v>
      </c>
      <c r="AE593" t="s">
        <v>20</v>
      </c>
      <c r="AF593" t="str">
        <f t="shared" si="19"/>
        <v>Yes</v>
      </c>
    </row>
    <row r="594" spans="1:32" x14ac:dyDescent="0.3">
      <c r="A594" t="s">
        <v>1150</v>
      </c>
      <c r="B594" s="1">
        <v>45768</v>
      </c>
      <c r="C594" t="s">
        <v>158</v>
      </c>
      <c r="D594">
        <f t="shared" si="18"/>
        <v>8</v>
      </c>
      <c r="E594" t="s">
        <v>60</v>
      </c>
      <c r="F594" t="s">
        <v>48</v>
      </c>
      <c r="G594" t="s">
        <v>23</v>
      </c>
      <c r="H594" t="s">
        <v>122</v>
      </c>
      <c r="I594" t="s">
        <v>123</v>
      </c>
      <c r="J594" t="s">
        <v>7</v>
      </c>
      <c r="K594" t="s">
        <v>245</v>
      </c>
      <c r="L594" t="s">
        <v>343</v>
      </c>
      <c r="M594" t="s">
        <v>140</v>
      </c>
      <c r="N594" t="s">
        <v>11</v>
      </c>
      <c r="O594">
        <v>17</v>
      </c>
      <c r="P594" t="s">
        <v>91</v>
      </c>
      <c r="Q594" t="s">
        <v>77</v>
      </c>
      <c r="R594" t="s">
        <v>78</v>
      </c>
      <c r="S594" t="s">
        <v>68</v>
      </c>
      <c r="T594" t="s">
        <v>16</v>
      </c>
      <c r="U594">
        <v>3</v>
      </c>
      <c r="V594">
        <v>35</v>
      </c>
      <c r="W594">
        <v>105</v>
      </c>
      <c r="X594">
        <v>5</v>
      </c>
      <c r="Y594">
        <v>299.25</v>
      </c>
      <c r="Z594">
        <v>194.25</v>
      </c>
      <c r="AA594" t="s">
        <v>36</v>
      </c>
      <c r="AB594" t="s">
        <v>129</v>
      </c>
      <c r="AD594" t="s">
        <v>19</v>
      </c>
      <c r="AE594" t="s">
        <v>20</v>
      </c>
      <c r="AF594" t="str">
        <f t="shared" si="19"/>
        <v>Yes</v>
      </c>
    </row>
    <row r="595" spans="1:32" x14ac:dyDescent="0.3">
      <c r="A595" t="s">
        <v>1151</v>
      </c>
      <c r="B595" s="1">
        <v>45816</v>
      </c>
      <c r="C595" t="s">
        <v>121</v>
      </c>
      <c r="D595">
        <f t="shared" si="18"/>
        <v>9</v>
      </c>
      <c r="E595" t="s">
        <v>131</v>
      </c>
      <c r="F595" t="s">
        <v>48</v>
      </c>
      <c r="G595" t="s">
        <v>4</v>
      </c>
      <c r="H595" t="s">
        <v>24</v>
      </c>
      <c r="I595" t="s">
        <v>25</v>
      </c>
      <c r="J595" t="s">
        <v>26</v>
      </c>
      <c r="K595" t="s">
        <v>27</v>
      </c>
      <c r="L595" t="s">
        <v>1046</v>
      </c>
      <c r="M595" t="s">
        <v>140</v>
      </c>
      <c r="N595" t="s">
        <v>11</v>
      </c>
      <c r="O595">
        <v>22</v>
      </c>
      <c r="P595" t="s">
        <v>76</v>
      </c>
      <c r="Q595" t="s">
        <v>308</v>
      </c>
      <c r="R595" t="s">
        <v>309</v>
      </c>
      <c r="S595" t="s">
        <v>187</v>
      </c>
      <c r="T595" t="s">
        <v>35</v>
      </c>
      <c r="U595">
        <v>2</v>
      </c>
      <c r="V595">
        <v>31</v>
      </c>
      <c r="W595">
        <v>77.5</v>
      </c>
      <c r="X595">
        <v>0</v>
      </c>
      <c r="Y595">
        <v>155</v>
      </c>
      <c r="Z595">
        <v>93</v>
      </c>
      <c r="AA595" t="s">
        <v>43</v>
      </c>
      <c r="AB595" t="s">
        <v>44</v>
      </c>
      <c r="AC595">
        <v>4</v>
      </c>
      <c r="AD595" t="s">
        <v>105</v>
      </c>
      <c r="AE595" t="s">
        <v>20</v>
      </c>
      <c r="AF595" t="str">
        <f t="shared" si="19"/>
        <v>Yes</v>
      </c>
    </row>
    <row r="596" spans="1:32" x14ac:dyDescent="0.3">
      <c r="A596" t="s">
        <v>1152</v>
      </c>
      <c r="B596" s="1">
        <v>45818</v>
      </c>
      <c r="C596" t="s">
        <v>199</v>
      </c>
      <c r="D596">
        <f t="shared" si="18"/>
        <v>10</v>
      </c>
      <c r="E596" t="s">
        <v>131</v>
      </c>
      <c r="F596" t="s">
        <v>48</v>
      </c>
      <c r="G596" t="s">
        <v>181</v>
      </c>
      <c r="H596" t="s">
        <v>164</v>
      </c>
      <c r="I596" t="s">
        <v>165</v>
      </c>
      <c r="J596" t="s">
        <v>166</v>
      </c>
      <c r="K596" t="s">
        <v>306</v>
      </c>
      <c r="L596" t="s">
        <v>736</v>
      </c>
      <c r="M596" t="s">
        <v>162</v>
      </c>
      <c r="N596" t="s">
        <v>11</v>
      </c>
      <c r="O596">
        <v>46</v>
      </c>
      <c r="P596" t="s">
        <v>12</v>
      </c>
      <c r="Q596" t="s">
        <v>226</v>
      </c>
      <c r="R596" t="s">
        <v>227</v>
      </c>
      <c r="S596" t="s">
        <v>68</v>
      </c>
      <c r="T596" t="s">
        <v>35</v>
      </c>
      <c r="U596">
        <v>4</v>
      </c>
      <c r="V596">
        <v>43</v>
      </c>
      <c r="W596">
        <v>94.6</v>
      </c>
      <c r="X596">
        <v>5</v>
      </c>
      <c r="Y596">
        <v>359.48</v>
      </c>
      <c r="Z596">
        <v>187.48</v>
      </c>
      <c r="AA596" t="s">
        <v>69</v>
      </c>
      <c r="AB596" t="s">
        <v>44</v>
      </c>
      <c r="AC596">
        <v>4</v>
      </c>
      <c r="AD596" t="s">
        <v>19</v>
      </c>
      <c r="AE596" t="s">
        <v>20</v>
      </c>
      <c r="AF596" t="str">
        <f t="shared" si="19"/>
        <v>Yes</v>
      </c>
    </row>
    <row r="597" spans="1:32" x14ac:dyDescent="0.3">
      <c r="A597" t="s">
        <v>1153</v>
      </c>
      <c r="B597" s="1">
        <v>45660</v>
      </c>
      <c r="C597" t="s">
        <v>537</v>
      </c>
      <c r="D597">
        <f t="shared" si="18"/>
        <v>8</v>
      </c>
      <c r="E597" t="s">
        <v>2</v>
      </c>
      <c r="F597" t="s">
        <v>3</v>
      </c>
      <c r="G597" t="s">
        <v>40</v>
      </c>
      <c r="H597" t="s">
        <v>49</v>
      </c>
      <c r="I597" t="s">
        <v>50</v>
      </c>
      <c r="J597" t="s">
        <v>7</v>
      </c>
      <c r="K597" t="s">
        <v>124</v>
      </c>
      <c r="L597" t="s">
        <v>452</v>
      </c>
      <c r="M597" t="s">
        <v>225</v>
      </c>
      <c r="N597" t="s">
        <v>30</v>
      </c>
      <c r="O597">
        <v>55</v>
      </c>
      <c r="P597" t="s">
        <v>91</v>
      </c>
      <c r="Q597" t="s">
        <v>370</v>
      </c>
      <c r="R597" t="s">
        <v>371</v>
      </c>
      <c r="S597" t="s">
        <v>111</v>
      </c>
      <c r="T597" t="s">
        <v>35</v>
      </c>
      <c r="U597">
        <v>1</v>
      </c>
      <c r="V597">
        <v>99</v>
      </c>
      <c r="W597">
        <v>247.5</v>
      </c>
      <c r="X597">
        <v>10</v>
      </c>
      <c r="Y597">
        <v>222.75</v>
      </c>
      <c r="Z597">
        <v>123.75</v>
      </c>
      <c r="AA597" t="s">
        <v>69</v>
      </c>
      <c r="AB597" t="s">
        <v>119</v>
      </c>
      <c r="AC597">
        <v>3</v>
      </c>
      <c r="AD597" t="s">
        <v>105</v>
      </c>
      <c r="AE597" t="s">
        <v>20</v>
      </c>
      <c r="AF597" t="str">
        <f t="shared" si="19"/>
        <v>Yes</v>
      </c>
    </row>
    <row r="598" spans="1:32" x14ac:dyDescent="0.3">
      <c r="A598" t="s">
        <v>1154</v>
      </c>
      <c r="B598" s="1">
        <v>45696</v>
      </c>
      <c r="C598" t="s">
        <v>388</v>
      </c>
      <c r="D598">
        <f t="shared" si="18"/>
        <v>19</v>
      </c>
      <c r="E598" t="s">
        <v>145</v>
      </c>
      <c r="F598" t="s">
        <v>3</v>
      </c>
      <c r="G598" t="s">
        <v>132</v>
      </c>
      <c r="H598" t="s">
        <v>24</v>
      </c>
      <c r="I598" t="s">
        <v>25</v>
      </c>
      <c r="J598" t="s">
        <v>26</v>
      </c>
      <c r="K598" t="s">
        <v>83</v>
      </c>
      <c r="L598" t="s">
        <v>556</v>
      </c>
      <c r="M598" t="s">
        <v>225</v>
      </c>
      <c r="N598" t="s">
        <v>11</v>
      </c>
      <c r="O598">
        <v>31</v>
      </c>
      <c r="P598" t="s">
        <v>91</v>
      </c>
      <c r="Q598" t="s">
        <v>85</v>
      </c>
      <c r="R598" t="s">
        <v>86</v>
      </c>
      <c r="S598" t="s">
        <v>34</v>
      </c>
      <c r="T598" t="s">
        <v>16</v>
      </c>
      <c r="U598">
        <v>1</v>
      </c>
      <c r="V598">
        <v>27</v>
      </c>
      <c r="W598">
        <v>81</v>
      </c>
      <c r="X598">
        <v>0</v>
      </c>
      <c r="Y598">
        <v>81</v>
      </c>
      <c r="Z598">
        <v>54</v>
      </c>
      <c r="AA598" t="s">
        <v>36</v>
      </c>
      <c r="AB598" t="s">
        <v>119</v>
      </c>
      <c r="AC598">
        <v>5</v>
      </c>
      <c r="AD598" t="s">
        <v>105</v>
      </c>
      <c r="AE598" t="s">
        <v>20</v>
      </c>
      <c r="AF598" t="str">
        <f t="shared" si="19"/>
        <v>Yes</v>
      </c>
    </row>
    <row r="599" spans="1:32" x14ac:dyDescent="0.3">
      <c r="A599" t="s">
        <v>1155</v>
      </c>
      <c r="B599" s="1">
        <v>45798</v>
      </c>
      <c r="C599" t="s">
        <v>373</v>
      </c>
      <c r="D599">
        <f t="shared" si="18"/>
        <v>9</v>
      </c>
      <c r="E599" t="s">
        <v>47</v>
      </c>
      <c r="F599" t="s">
        <v>48</v>
      </c>
      <c r="G599" t="s">
        <v>73</v>
      </c>
      <c r="H599" t="s">
        <v>24</v>
      </c>
      <c r="I599" t="s">
        <v>25</v>
      </c>
      <c r="J599" t="s">
        <v>26</v>
      </c>
      <c r="K599" t="s">
        <v>318</v>
      </c>
      <c r="L599" t="s">
        <v>1156</v>
      </c>
      <c r="M599" t="s">
        <v>225</v>
      </c>
      <c r="N599" t="s">
        <v>30</v>
      </c>
      <c r="O599">
        <v>58</v>
      </c>
      <c r="P599" t="s">
        <v>91</v>
      </c>
      <c r="Q599" t="s">
        <v>211</v>
      </c>
      <c r="R599" t="s">
        <v>212</v>
      </c>
      <c r="S599" t="s">
        <v>128</v>
      </c>
      <c r="T599" t="s">
        <v>16</v>
      </c>
      <c r="U599">
        <v>3</v>
      </c>
      <c r="V599">
        <v>50</v>
      </c>
      <c r="W599">
        <v>140</v>
      </c>
      <c r="X599">
        <v>15</v>
      </c>
      <c r="Y599">
        <v>357</v>
      </c>
      <c r="Z599">
        <v>207</v>
      </c>
      <c r="AA599" t="s">
        <v>179</v>
      </c>
      <c r="AB599" t="s">
        <v>18</v>
      </c>
      <c r="AC599">
        <v>5</v>
      </c>
      <c r="AD599" t="s">
        <v>105</v>
      </c>
      <c r="AE599" t="s">
        <v>20</v>
      </c>
      <c r="AF599" t="str">
        <f t="shared" si="19"/>
        <v>Yes</v>
      </c>
    </row>
    <row r="600" spans="1:32" x14ac:dyDescent="0.3">
      <c r="A600" t="s">
        <v>1157</v>
      </c>
      <c r="B600" s="1">
        <v>45718</v>
      </c>
      <c r="C600" t="s">
        <v>537</v>
      </c>
      <c r="D600">
        <f t="shared" si="18"/>
        <v>8</v>
      </c>
      <c r="E600" t="s">
        <v>72</v>
      </c>
      <c r="F600" t="s">
        <v>3</v>
      </c>
      <c r="G600" t="s">
        <v>4</v>
      </c>
      <c r="H600" t="s">
        <v>61</v>
      </c>
      <c r="I600" t="s">
        <v>62</v>
      </c>
      <c r="J600" t="s">
        <v>7</v>
      </c>
      <c r="K600" t="s">
        <v>51</v>
      </c>
      <c r="L600" t="s">
        <v>1032</v>
      </c>
      <c r="M600" t="s">
        <v>10</v>
      </c>
      <c r="N600" t="s">
        <v>30</v>
      </c>
      <c r="O600">
        <v>65</v>
      </c>
      <c r="P600" t="s">
        <v>91</v>
      </c>
      <c r="Q600" t="s">
        <v>518</v>
      </c>
      <c r="R600" t="s">
        <v>519</v>
      </c>
      <c r="S600" t="s">
        <v>242</v>
      </c>
      <c r="T600" t="s">
        <v>35</v>
      </c>
      <c r="U600">
        <v>1</v>
      </c>
      <c r="V600">
        <v>88</v>
      </c>
      <c r="W600">
        <v>193.6</v>
      </c>
      <c r="X600">
        <v>5</v>
      </c>
      <c r="Y600">
        <v>183.92</v>
      </c>
      <c r="Z600">
        <v>95.92</v>
      </c>
      <c r="AA600" t="s">
        <v>69</v>
      </c>
      <c r="AB600" t="s">
        <v>119</v>
      </c>
      <c r="AC600">
        <v>3</v>
      </c>
      <c r="AD600" t="s">
        <v>19</v>
      </c>
      <c r="AE600" t="s">
        <v>20</v>
      </c>
      <c r="AF600" t="str">
        <f t="shared" si="19"/>
        <v>Yes</v>
      </c>
    </row>
    <row r="601" spans="1:32" x14ac:dyDescent="0.3">
      <c r="A601" t="s">
        <v>1158</v>
      </c>
      <c r="B601" s="1">
        <v>45812</v>
      </c>
      <c r="C601" t="s">
        <v>683</v>
      </c>
      <c r="D601">
        <f t="shared" si="18"/>
        <v>15</v>
      </c>
      <c r="E601" t="s">
        <v>131</v>
      </c>
      <c r="F601" t="s">
        <v>48</v>
      </c>
      <c r="G601" t="s">
        <v>73</v>
      </c>
      <c r="H601" t="s">
        <v>99</v>
      </c>
      <c r="I601" t="s">
        <v>100</v>
      </c>
      <c r="J601" t="s">
        <v>101</v>
      </c>
      <c r="K601" t="s">
        <v>74</v>
      </c>
      <c r="L601" t="s">
        <v>1036</v>
      </c>
      <c r="M601" t="s">
        <v>184</v>
      </c>
      <c r="N601" t="s">
        <v>30</v>
      </c>
      <c r="O601">
        <v>64</v>
      </c>
      <c r="P601" t="s">
        <v>31</v>
      </c>
      <c r="Q601" t="s">
        <v>230</v>
      </c>
      <c r="R601" t="s">
        <v>231</v>
      </c>
      <c r="S601" t="s">
        <v>128</v>
      </c>
      <c r="T601" t="s">
        <v>35</v>
      </c>
      <c r="U601">
        <v>4</v>
      </c>
      <c r="V601">
        <v>62</v>
      </c>
      <c r="W601">
        <v>186</v>
      </c>
      <c r="X601">
        <v>0</v>
      </c>
      <c r="Y601">
        <v>744</v>
      </c>
      <c r="Z601">
        <v>496</v>
      </c>
      <c r="AA601" t="s">
        <v>43</v>
      </c>
      <c r="AB601" t="s">
        <v>37</v>
      </c>
      <c r="AC601">
        <v>3</v>
      </c>
      <c r="AD601" t="s">
        <v>105</v>
      </c>
      <c r="AE601" t="s">
        <v>20</v>
      </c>
      <c r="AF601" t="str">
        <f t="shared" si="19"/>
        <v>Yes</v>
      </c>
    </row>
    <row r="602" spans="1:32" x14ac:dyDescent="0.3">
      <c r="A602" t="s">
        <v>1159</v>
      </c>
      <c r="B602" s="1">
        <v>45790</v>
      </c>
      <c r="C602" t="s">
        <v>191</v>
      </c>
      <c r="D602">
        <f t="shared" si="18"/>
        <v>19</v>
      </c>
      <c r="E602" t="s">
        <v>47</v>
      </c>
      <c r="F602" t="s">
        <v>48</v>
      </c>
      <c r="G602" t="s">
        <v>181</v>
      </c>
      <c r="H602" t="s">
        <v>150</v>
      </c>
      <c r="I602" t="s">
        <v>151</v>
      </c>
      <c r="J602" t="s">
        <v>152</v>
      </c>
      <c r="K602" t="s">
        <v>167</v>
      </c>
      <c r="L602" t="s">
        <v>28</v>
      </c>
      <c r="M602" t="s">
        <v>184</v>
      </c>
      <c r="N602" t="s">
        <v>30</v>
      </c>
      <c r="O602">
        <v>24</v>
      </c>
      <c r="P602" t="s">
        <v>31</v>
      </c>
      <c r="Q602" t="s">
        <v>295</v>
      </c>
      <c r="R602" t="s">
        <v>296</v>
      </c>
      <c r="S602" t="s">
        <v>57</v>
      </c>
      <c r="T602" t="s">
        <v>35</v>
      </c>
      <c r="U602">
        <v>4</v>
      </c>
      <c r="V602">
        <v>62</v>
      </c>
      <c r="W602">
        <v>186</v>
      </c>
      <c r="X602">
        <v>10</v>
      </c>
      <c r="Y602">
        <v>669.6</v>
      </c>
      <c r="Z602">
        <v>421.6</v>
      </c>
      <c r="AA602" t="s">
        <v>69</v>
      </c>
      <c r="AB602" t="s">
        <v>37</v>
      </c>
      <c r="AD602" t="s">
        <v>19</v>
      </c>
      <c r="AE602" t="s">
        <v>20</v>
      </c>
      <c r="AF602" t="str">
        <f t="shared" si="19"/>
        <v>Yes</v>
      </c>
    </row>
    <row r="603" spans="1:32" x14ac:dyDescent="0.3">
      <c r="A603" t="s">
        <v>1160</v>
      </c>
      <c r="B603" s="1">
        <v>45696</v>
      </c>
      <c r="C603" t="s">
        <v>537</v>
      </c>
      <c r="D603">
        <f t="shared" si="18"/>
        <v>8</v>
      </c>
      <c r="E603" t="s">
        <v>145</v>
      </c>
      <c r="F603" t="s">
        <v>3</v>
      </c>
      <c r="G603" t="s">
        <v>132</v>
      </c>
      <c r="H603" t="s">
        <v>81</v>
      </c>
      <c r="I603" t="s">
        <v>82</v>
      </c>
      <c r="J603" t="s">
        <v>7</v>
      </c>
      <c r="K603" t="s">
        <v>138</v>
      </c>
      <c r="L603" t="s">
        <v>461</v>
      </c>
      <c r="M603" t="s">
        <v>65</v>
      </c>
      <c r="N603" t="s">
        <v>11</v>
      </c>
      <c r="O603">
        <v>21</v>
      </c>
      <c r="P603" t="s">
        <v>31</v>
      </c>
      <c r="Q603" t="s">
        <v>126</v>
      </c>
      <c r="R603" t="s">
        <v>127</v>
      </c>
      <c r="S603" t="s">
        <v>128</v>
      </c>
      <c r="T603" t="s">
        <v>35</v>
      </c>
      <c r="U603">
        <v>3</v>
      </c>
      <c r="V603">
        <v>69</v>
      </c>
      <c r="W603">
        <v>193.2</v>
      </c>
      <c r="X603">
        <v>0</v>
      </c>
      <c r="Y603">
        <v>579.6</v>
      </c>
      <c r="Z603">
        <v>372.6</v>
      </c>
      <c r="AA603" t="s">
        <v>69</v>
      </c>
      <c r="AB603" t="s">
        <v>129</v>
      </c>
      <c r="AC603">
        <v>4</v>
      </c>
      <c r="AD603" t="s">
        <v>105</v>
      </c>
      <c r="AE603" t="s">
        <v>95</v>
      </c>
      <c r="AF603" t="str">
        <f t="shared" si="19"/>
        <v>No</v>
      </c>
    </row>
    <row r="604" spans="1:32" x14ac:dyDescent="0.3">
      <c r="A604" t="s">
        <v>1161</v>
      </c>
      <c r="B604" s="1">
        <v>45703</v>
      </c>
      <c r="C604" t="s">
        <v>373</v>
      </c>
      <c r="D604">
        <f t="shared" si="18"/>
        <v>9</v>
      </c>
      <c r="E604" t="s">
        <v>145</v>
      </c>
      <c r="F604" t="s">
        <v>3</v>
      </c>
      <c r="G604" t="s">
        <v>132</v>
      </c>
      <c r="H604" t="s">
        <v>150</v>
      </c>
      <c r="I604" t="s">
        <v>151</v>
      </c>
      <c r="J604" t="s">
        <v>152</v>
      </c>
      <c r="K604" t="s">
        <v>83</v>
      </c>
      <c r="L604" t="s">
        <v>899</v>
      </c>
      <c r="M604" t="s">
        <v>140</v>
      </c>
      <c r="N604" t="s">
        <v>30</v>
      </c>
      <c r="O604">
        <v>22</v>
      </c>
      <c r="P604" t="s">
        <v>54</v>
      </c>
      <c r="Q604" t="s">
        <v>272</v>
      </c>
      <c r="R604" t="s">
        <v>273</v>
      </c>
      <c r="S604" t="s">
        <v>57</v>
      </c>
      <c r="T604" t="s">
        <v>16</v>
      </c>
      <c r="U604">
        <v>4</v>
      </c>
      <c r="V604">
        <v>55</v>
      </c>
      <c r="W604">
        <v>154</v>
      </c>
      <c r="X604">
        <v>0</v>
      </c>
      <c r="Y604">
        <v>616</v>
      </c>
      <c r="Z604">
        <v>396</v>
      </c>
      <c r="AA604" t="s">
        <v>36</v>
      </c>
      <c r="AB604" t="s">
        <v>87</v>
      </c>
      <c r="AD604" t="s">
        <v>105</v>
      </c>
      <c r="AE604" t="s">
        <v>95</v>
      </c>
      <c r="AF604" t="str">
        <f t="shared" si="19"/>
        <v>No</v>
      </c>
    </row>
    <row r="605" spans="1:32" x14ac:dyDescent="0.3">
      <c r="A605" t="s">
        <v>1162</v>
      </c>
      <c r="B605" s="1">
        <v>45787</v>
      </c>
      <c r="C605" t="s">
        <v>345</v>
      </c>
      <c r="D605">
        <f t="shared" si="18"/>
        <v>18</v>
      </c>
      <c r="E605" t="s">
        <v>47</v>
      </c>
      <c r="F605" t="s">
        <v>48</v>
      </c>
      <c r="G605" t="s">
        <v>132</v>
      </c>
      <c r="H605" t="s">
        <v>159</v>
      </c>
      <c r="I605" t="s">
        <v>160</v>
      </c>
      <c r="J605" t="s">
        <v>161</v>
      </c>
      <c r="K605" t="s">
        <v>229</v>
      </c>
      <c r="L605" t="s">
        <v>1163</v>
      </c>
      <c r="M605" t="s">
        <v>53</v>
      </c>
      <c r="N605" t="s">
        <v>11</v>
      </c>
      <c r="O605">
        <v>17</v>
      </c>
      <c r="P605" t="s">
        <v>76</v>
      </c>
      <c r="Q605" t="s">
        <v>431</v>
      </c>
      <c r="R605" t="s">
        <v>432</v>
      </c>
      <c r="S605" t="s">
        <v>172</v>
      </c>
      <c r="T605" t="s">
        <v>35</v>
      </c>
      <c r="U605">
        <v>2</v>
      </c>
      <c r="V605">
        <v>77</v>
      </c>
      <c r="W605">
        <v>192.5</v>
      </c>
      <c r="X605">
        <v>10</v>
      </c>
      <c r="Y605">
        <v>346.5</v>
      </c>
      <c r="Z605">
        <v>192.5</v>
      </c>
      <c r="AA605" t="s">
        <v>69</v>
      </c>
      <c r="AB605" t="s">
        <v>44</v>
      </c>
      <c r="AC605">
        <v>4</v>
      </c>
      <c r="AD605" t="s">
        <v>19</v>
      </c>
      <c r="AE605" t="s">
        <v>20</v>
      </c>
      <c r="AF605" t="str">
        <f t="shared" si="19"/>
        <v>Yes</v>
      </c>
    </row>
    <row r="606" spans="1:32" x14ac:dyDescent="0.3">
      <c r="A606" t="s">
        <v>1164</v>
      </c>
      <c r="B606" s="1">
        <v>45761</v>
      </c>
      <c r="C606" t="s">
        <v>144</v>
      </c>
      <c r="D606">
        <f t="shared" si="18"/>
        <v>20</v>
      </c>
      <c r="E606" t="s">
        <v>60</v>
      </c>
      <c r="F606" t="s">
        <v>48</v>
      </c>
      <c r="G606" t="s">
        <v>23</v>
      </c>
      <c r="H606" t="s">
        <v>150</v>
      </c>
      <c r="I606" t="s">
        <v>151</v>
      </c>
      <c r="J606" t="s">
        <v>152</v>
      </c>
      <c r="K606" t="s">
        <v>352</v>
      </c>
      <c r="L606" t="s">
        <v>175</v>
      </c>
      <c r="M606" t="s">
        <v>65</v>
      </c>
      <c r="N606" t="s">
        <v>11</v>
      </c>
      <c r="O606">
        <v>24</v>
      </c>
      <c r="P606" t="s">
        <v>12</v>
      </c>
      <c r="Q606" t="s">
        <v>103</v>
      </c>
      <c r="R606" t="s">
        <v>104</v>
      </c>
      <c r="S606" t="s">
        <v>94</v>
      </c>
      <c r="T606" t="s">
        <v>35</v>
      </c>
      <c r="U606">
        <v>4</v>
      </c>
      <c r="V606">
        <v>57</v>
      </c>
      <c r="W606">
        <v>159.6</v>
      </c>
      <c r="X606">
        <v>15</v>
      </c>
      <c r="Y606">
        <v>542.64</v>
      </c>
      <c r="Z606">
        <v>314.64</v>
      </c>
      <c r="AA606" t="s">
        <v>36</v>
      </c>
      <c r="AB606" t="s">
        <v>44</v>
      </c>
      <c r="AC606">
        <v>5</v>
      </c>
      <c r="AD606" t="s">
        <v>19</v>
      </c>
      <c r="AE606" t="s">
        <v>20</v>
      </c>
      <c r="AF606" t="str">
        <f t="shared" si="19"/>
        <v>Yes</v>
      </c>
    </row>
    <row r="607" spans="1:32" x14ac:dyDescent="0.3">
      <c r="A607" t="s">
        <v>1165</v>
      </c>
      <c r="B607" s="1">
        <v>45705</v>
      </c>
      <c r="C607" t="s">
        <v>199</v>
      </c>
      <c r="D607">
        <f t="shared" si="18"/>
        <v>10</v>
      </c>
      <c r="E607" t="s">
        <v>145</v>
      </c>
      <c r="F607" t="s">
        <v>3</v>
      </c>
      <c r="G607" t="s">
        <v>23</v>
      </c>
      <c r="H607" t="s">
        <v>61</v>
      </c>
      <c r="I607" t="s">
        <v>62</v>
      </c>
      <c r="J607" t="s">
        <v>7</v>
      </c>
      <c r="K607" t="s">
        <v>245</v>
      </c>
      <c r="L607" t="s">
        <v>563</v>
      </c>
      <c r="M607" t="s">
        <v>29</v>
      </c>
      <c r="N607" t="s">
        <v>11</v>
      </c>
      <c r="O607">
        <v>37</v>
      </c>
      <c r="P607" t="s">
        <v>12</v>
      </c>
      <c r="Q607" t="s">
        <v>55</v>
      </c>
      <c r="R607" t="s">
        <v>56</v>
      </c>
      <c r="S607" t="s">
        <v>57</v>
      </c>
      <c r="T607" t="s">
        <v>35</v>
      </c>
      <c r="U607">
        <v>1</v>
      </c>
      <c r="V607">
        <v>36</v>
      </c>
      <c r="W607">
        <v>79.2</v>
      </c>
      <c r="X607">
        <v>10</v>
      </c>
      <c r="Y607">
        <v>71.28</v>
      </c>
      <c r="Z607">
        <v>35.28</v>
      </c>
      <c r="AA607" t="s">
        <v>36</v>
      </c>
      <c r="AB607" t="s">
        <v>18</v>
      </c>
      <c r="AC607">
        <v>3</v>
      </c>
      <c r="AD607" t="s">
        <v>105</v>
      </c>
      <c r="AE607" t="s">
        <v>20</v>
      </c>
      <c r="AF607" t="str">
        <f t="shared" si="19"/>
        <v>Yes</v>
      </c>
    </row>
    <row r="608" spans="1:32" x14ac:dyDescent="0.3">
      <c r="A608" t="s">
        <v>1166</v>
      </c>
      <c r="B608" s="1">
        <v>45812</v>
      </c>
      <c r="C608" t="s">
        <v>388</v>
      </c>
      <c r="D608">
        <f t="shared" si="18"/>
        <v>19</v>
      </c>
      <c r="E608" t="s">
        <v>131</v>
      </c>
      <c r="F608" t="s">
        <v>48</v>
      </c>
      <c r="G608" t="s">
        <v>73</v>
      </c>
      <c r="H608" t="s">
        <v>81</v>
      </c>
      <c r="I608" t="s">
        <v>82</v>
      </c>
      <c r="J608" t="s">
        <v>7</v>
      </c>
      <c r="K608" t="s">
        <v>27</v>
      </c>
      <c r="L608" t="s">
        <v>835</v>
      </c>
      <c r="M608" t="s">
        <v>162</v>
      </c>
      <c r="N608" t="s">
        <v>30</v>
      </c>
      <c r="O608">
        <v>61</v>
      </c>
      <c r="P608" t="s">
        <v>12</v>
      </c>
      <c r="Q608" t="s">
        <v>230</v>
      </c>
      <c r="R608" t="s">
        <v>231</v>
      </c>
      <c r="S608" t="s">
        <v>128</v>
      </c>
      <c r="T608" t="s">
        <v>35</v>
      </c>
      <c r="U608">
        <v>3</v>
      </c>
      <c r="V608">
        <v>62</v>
      </c>
      <c r="W608">
        <v>186</v>
      </c>
      <c r="X608">
        <v>5</v>
      </c>
      <c r="Y608">
        <v>530.1</v>
      </c>
      <c r="Z608">
        <v>344.1</v>
      </c>
      <c r="AA608" t="s">
        <v>17</v>
      </c>
      <c r="AB608" t="s">
        <v>119</v>
      </c>
      <c r="AC608">
        <v>4</v>
      </c>
      <c r="AD608" t="s">
        <v>105</v>
      </c>
      <c r="AE608" t="s">
        <v>20</v>
      </c>
      <c r="AF608" t="str">
        <f t="shared" si="19"/>
        <v>Yes</v>
      </c>
    </row>
    <row r="609" spans="1:32" x14ac:dyDescent="0.3">
      <c r="A609" t="s">
        <v>1167</v>
      </c>
      <c r="B609" s="1">
        <v>45744</v>
      </c>
      <c r="C609" t="s">
        <v>417</v>
      </c>
      <c r="D609">
        <f t="shared" si="18"/>
        <v>16</v>
      </c>
      <c r="E609" t="s">
        <v>72</v>
      </c>
      <c r="F609" t="s">
        <v>3</v>
      </c>
      <c r="G609" t="s">
        <v>40</v>
      </c>
      <c r="H609" t="s">
        <v>164</v>
      </c>
      <c r="I609" t="s">
        <v>165</v>
      </c>
      <c r="J609" t="s">
        <v>166</v>
      </c>
      <c r="K609" t="s">
        <v>74</v>
      </c>
      <c r="L609" t="s">
        <v>290</v>
      </c>
      <c r="M609" t="s">
        <v>140</v>
      </c>
      <c r="N609" t="s">
        <v>30</v>
      </c>
      <c r="O609">
        <v>34</v>
      </c>
      <c r="P609" t="s">
        <v>12</v>
      </c>
      <c r="Q609" t="s">
        <v>211</v>
      </c>
      <c r="R609" t="s">
        <v>212</v>
      </c>
      <c r="S609" t="s">
        <v>128</v>
      </c>
      <c r="T609" t="s">
        <v>16</v>
      </c>
      <c r="U609">
        <v>4</v>
      </c>
      <c r="V609">
        <v>50</v>
      </c>
      <c r="W609">
        <v>140</v>
      </c>
      <c r="X609">
        <v>10</v>
      </c>
      <c r="Y609">
        <v>504</v>
      </c>
      <c r="Z609">
        <v>304</v>
      </c>
      <c r="AA609" t="s">
        <v>17</v>
      </c>
      <c r="AB609" t="s">
        <v>37</v>
      </c>
      <c r="AD609" t="s">
        <v>105</v>
      </c>
      <c r="AE609" t="s">
        <v>20</v>
      </c>
      <c r="AF609" t="str">
        <f t="shared" si="19"/>
        <v>Yes</v>
      </c>
    </row>
    <row r="610" spans="1:32" x14ac:dyDescent="0.3">
      <c r="A610" t="s">
        <v>1168</v>
      </c>
      <c r="B610" s="1">
        <v>45789</v>
      </c>
      <c r="C610" t="s">
        <v>388</v>
      </c>
      <c r="D610">
        <f t="shared" si="18"/>
        <v>19</v>
      </c>
      <c r="E610" t="s">
        <v>47</v>
      </c>
      <c r="F610" t="s">
        <v>48</v>
      </c>
      <c r="G610" t="s">
        <v>23</v>
      </c>
      <c r="H610" t="s">
        <v>61</v>
      </c>
      <c r="I610" t="s">
        <v>62</v>
      </c>
      <c r="J610" t="s">
        <v>7</v>
      </c>
      <c r="K610" t="s">
        <v>27</v>
      </c>
      <c r="L610" t="s">
        <v>428</v>
      </c>
      <c r="M610" t="s">
        <v>261</v>
      </c>
      <c r="N610" t="s">
        <v>30</v>
      </c>
      <c r="O610">
        <v>43</v>
      </c>
      <c r="P610" t="s">
        <v>54</v>
      </c>
      <c r="Q610" t="s">
        <v>364</v>
      </c>
      <c r="R610" t="s">
        <v>365</v>
      </c>
      <c r="S610" t="s">
        <v>187</v>
      </c>
      <c r="T610" t="s">
        <v>35</v>
      </c>
      <c r="U610">
        <v>1</v>
      </c>
      <c r="V610">
        <v>28</v>
      </c>
      <c r="W610">
        <v>84</v>
      </c>
      <c r="X610">
        <v>15</v>
      </c>
      <c r="Y610">
        <v>71.400000000000006</v>
      </c>
      <c r="Z610">
        <v>43.4</v>
      </c>
      <c r="AA610" t="s">
        <v>69</v>
      </c>
      <c r="AB610" t="s">
        <v>37</v>
      </c>
      <c r="AC610">
        <v>3</v>
      </c>
      <c r="AD610" t="s">
        <v>19</v>
      </c>
      <c r="AE610" t="s">
        <v>20</v>
      </c>
      <c r="AF610" t="str">
        <f t="shared" si="19"/>
        <v>Yes</v>
      </c>
    </row>
    <row r="611" spans="1:32" x14ac:dyDescent="0.3">
      <c r="A611" t="s">
        <v>1169</v>
      </c>
      <c r="B611" s="1">
        <v>45824</v>
      </c>
      <c r="C611" t="s">
        <v>829</v>
      </c>
      <c r="D611">
        <f t="shared" si="18"/>
        <v>14</v>
      </c>
      <c r="E611" t="s">
        <v>131</v>
      </c>
      <c r="F611" t="s">
        <v>48</v>
      </c>
      <c r="G611" t="s">
        <v>23</v>
      </c>
      <c r="H611" t="s">
        <v>81</v>
      </c>
      <c r="I611" t="s">
        <v>82</v>
      </c>
      <c r="J611" t="s">
        <v>7</v>
      </c>
      <c r="K611" t="s">
        <v>107</v>
      </c>
      <c r="L611" t="s">
        <v>1048</v>
      </c>
      <c r="M611" t="s">
        <v>225</v>
      </c>
      <c r="N611" t="s">
        <v>30</v>
      </c>
      <c r="O611">
        <v>32</v>
      </c>
      <c r="P611" t="s">
        <v>31</v>
      </c>
      <c r="Q611" t="s">
        <v>262</v>
      </c>
      <c r="R611" t="s">
        <v>263</v>
      </c>
      <c r="S611" t="s">
        <v>218</v>
      </c>
      <c r="T611" t="s">
        <v>35</v>
      </c>
      <c r="U611">
        <v>2</v>
      </c>
      <c r="V611">
        <v>40</v>
      </c>
      <c r="W611">
        <v>112</v>
      </c>
      <c r="X611">
        <v>0</v>
      </c>
      <c r="Y611">
        <v>224</v>
      </c>
      <c r="Z611">
        <v>144</v>
      </c>
      <c r="AA611" t="s">
        <v>43</v>
      </c>
      <c r="AB611" t="s">
        <v>44</v>
      </c>
      <c r="AC611">
        <v>3</v>
      </c>
      <c r="AD611" t="s">
        <v>105</v>
      </c>
      <c r="AE611" t="s">
        <v>20</v>
      </c>
      <c r="AF611" t="str">
        <f t="shared" si="19"/>
        <v>Yes</v>
      </c>
    </row>
    <row r="612" spans="1:32" x14ac:dyDescent="0.3">
      <c r="A612" t="s">
        <v>1170</v>
      </c>
      <c r="B612" s="1">
        <v>45781</v>
      </c>
      <c r="C612" t="s">
        <v>407</v>
      </c>
      <c r="D612">
        <f t="shared" si="18"/>
        <v>8</v>
      </c>
      <c r="E612" t="s">
        <v>47</v>
      </c>
      <c r="F612" t="s">
        <v>48</v>
      </c>
      <c r="G612" t="s">
        <v>4</v>
      </c>
      <c r="H612" t="s">
        <v>24</v>
      </c>
      <c r="I612" t="s">
        <v>25</v>
      </c>
      <c r="J612" t="s">
        <v>26</v>
      </c>
      <c r="K612" t="s">
        <v>182</v>
      </c>
      <c r="L612" t="s">
        <v>668</v>
      </c>
      <c r="M612" t="s">
        <v>162</v>
      </c>
      <c r="N612" t="s">
        <v>11</v>
      </c>
      <c r="O612">
        <v>42</v>
      </c>
      <c r="P612" t="s">
        <v>12</v>
      </c>
      <c r="Q612" t="s">
        <v>216</v>
      </c>
      <c r="R612" t="s">
        <v>217</v>
      </c>
      <c r="S612" t="s">
        <v>218</v>
      </c>
      <c r="T612" t="s">
        <v>35</v>
      </c>
      <c r="U612">
        <v>3</v>
      </c>
      <c r="V612">
        <v>67</v>
      </c>
      <c r="W612">
        <v>187.6</v>
      </c>
      <c r="X612">
        <v>15</v>
      </c>
      <c r="Y612">
        <v>478.38</v>
      </c>
      <c r="Z612">
        <v>277.38</v>
      </c>
      <c r="AA612" t="s">
        <v>179</v>
      </c>
      <c r="AB612" t="s">
        <v>37</v>
      </c>
      <c r="AC612">
        <v>5</v>
      </c>
      <c r="AD612" t="s">
        <v>105</v>
      </c>
      <c r="AE612" t="s">
        <v>95</v>
      </c>
      <c r="AF612" t="str">
        <f t="shared" si="19"/>
        <v>No</v>
      </c>
    </row>
    <row r="613" spans="1:32" x14ac:dyDescent="0.3">
      <c r="A613" t="s">
        <v>1171</v>
      </c>
      <c r="B613" s="1">
        <v>45799</v>
      </c>
      <c r="C613" t="s">
        <v>191</v>
      </c>
      <c r="D613">
        <f t="shared" si="18"/>
        <v>19</v>
      </c>
      <c r="E613" t="s">
        <v>47</v>
      </c>
      <c r="F613" t="s">
        <v>48</v>
      </c>
      <c r="G613" t="s">
        <v>98</v>
      </c>
      <c r="H613" t="s">
        <v>49</v>
      </c>
      <c r="I613" t="s">
        <v>50</v>
      </c>
      <c r="J613" t="s">
        <v>7</v>
      </c>
      <c r="K613" t="s">
        <v>146</v>
      </c>
      <c r="L613" t="s">
        <v>804</v>
      </c>
      <c r="M613" t="s">
        <v>169</v>
      </c>
      <c r="N613" t="s">
        <v>30</v>
      </c>
      <c r="O613">
        <v>36</v>
      </c>
      <c r="P613" t="s">
        <v>91</v>
      </c>
      <c r="Q613" t="s">
        <v>216</v>
      </c>
      <c r="R613" t="s">
        <v>217</v>
      </c>
      <c r="S613" t="s">
        <v>218</v>
      </c>
      <c r="T613" t="s">
        <v>35</v>
      </c>
      <c r="U613">
        <v>2</v>
      </c>
      <c r="V613">
        <v>67</v>
      </c>
      <c r="W613">
        <v>187.6</v>
      </c>
      <c r="X613">
        <v>10</v>
      </c>
      <c r="Y613">
        <v>337.68</v>
      </c>
      <c r="Z613">
        <v>203.68</v>
      </c>
      <c r="AA613" t="s">
        <v>43</v>
      </c>
      <c r="AB613" t="s">
        <v>18</v>
      </c>
      <c r="AC613">
        <v>5</v>
      </c>
      <c r="AD613" t="s">
        <v>19</v>
      </c>
      <c r="AE613" t="s">
        <v>20</v>
      </c>
      <c r="AF613" t="str">
        <f t="shared" si="19"/>
        <v>Yes</v>
      </c>
    </row>
    <row r="614" spans="1:32" x14ac:dyDescent="0.3">
      <c r="A614" t="s">
        <v>1172</v>
      </c>
      <c r="B614" s="1">
        <v>45721</v>
      </c>
      <c r="C614" t="s">
        <v>345</v>
      </c>
      <c r="D614">
        <f t="shared" si="18"/>
        <v>18</v>
      </c>
      <c r="E614" t="s">
        <v>72</v>
      </c>
      <c r="F614" t="s">
        <v>3</v>
      </c>
      <c r="G614" t="s">
        <v>73</v>
      </c>
      <c r="H614" t="s">
        <v>61</v>
      </c>
      <c r="I614" t="s">
        <v>62</v>
      </c>
      <c r="J614" t="s">
        <v>7</v>
      </c>
      <c r="K614" t="s">
        <v>51</v>
      </c>
      <c r="L614" t="s">
        <v>1173</v>
      </c>
      <c r="M614" t="s">
        <v>29</v>
      </c>
      <c r="N614" t="s">
        <v>30</v>
      </c>
      <c r="O614">
        <v>39</v>
      </c>
      <c r="P614" t="s">
        <v>54</v>
      </c>
      <c r="Q614" t="s">
        <v>134</v>
      </c>
      <c r="R614" t="s">
        <v>135</v>
      </c>
      <c r="S614" t="s">
        <v>136</v>
      </c>
      <c r="T614" t="s">
        <v>35</v>
      </c>
      <c r="U614">
        <v>2</v>
      </c>
      <c r="V614">
        <v>20</v>
      </c>
      <c r="W614">
        <v>60</v>
      </c>
      <c r="X614">
        <v>15</v>
      </c>
      <c r="Y614">
        <v>102</v>
      </c>
      <c r="Z614">
        <v>62</v>
      </c>
      <c r="AA614" t="s">
        <v>43</v>
      </c>
      <c r="AB614" t="s">
        <v>119</v>
      </c>
      <c r="AC614">
        <v>4</v>
      </c>
      <c r="AD614" t="s">
        <v>19</v>
      </c>
      <c r="AE614" t="s">
        <v>95</v>
      </c>
      <c r="AF614" t="str">
        <f t="shared" si="19"/>
        <v>No</v>
      </c>
    </row>
    <row r="615" spans="1:32" x14ac:dyDescent="0.3">
      <c r="A615" t="s">
        <v>1174</v>
      </c>
      <c r="B615" s="1">
        <v>45755</v>
      </c>
      <c r="C615" t="s">
        <v>330</v>
      </c>
      <c r="D615">
        <f t="shared" si="18"/>
        <v>14</v>
      </c>
      <c r="E615" t="s">
        <v>60</v>
      </c>
      <c r="F615" t="s">
        <v>48</v>
      </c>
      <c r="G615" t="s">
        <v>181</v>
      </c>
      <c r="H615" t="s">
        <v>99</v>
      </c>
      <c r="I615" t="s">
        <v>100</v>
      </c>
      <c r="J615" t="s">
        <v>101</v>
      </c>
      <c r="K615" t="s">
        <v>146</v>
      </c>
      <c r="L615" t="s">
        <v>528</v>
      </c>
      <c r="M615" t="s">
        <v>225</v>
      </c>
      <c r="N615" t="s">
        <v>11</v>
      </c>
      <c r="O615">
        <v>31</v>
      </c>
      <c r="P615" t="s">
        <v>12</v>
      </c>
      <c r="Q615" t="s">
        <v>176</v>
      </c>
      <c r="R615" t="s">
        <v>177</v>
      </c>
      <c r="S615" t="s">
        <v>178</v>
      </c>
      <c r="T615" t="s">
        <v>16</v>
      </c>
      <c r="U615">
        <v>3</v>
      </c>
      <c r="V615">
        <v>56</v>
      </c>
      <c r="W615">
        <v>156.80000000000001</v>
      </c>
      <c r="X615">
        <v>5</v>
      </c>
      <c r="Y615">
        <v>446.88</v>
      </c>
      <c r="Z615">
        <v>278.88</v>
      </c>
      <c r="AA615" t="s">
        <v>43</v>
      </c>
      <c r="AB615" t="s">
        <v>37</v>
      </c>
      <c r="AC615">
        <v>5</v>
      </c>
      <c r="AD615" t="s">
        <v>105</v>
      </c>
      <c r="AE615" t="s">
        <v>20</v>
      </c>
      <c r="AF615" t="str">
        <f t="shared" si="19"/>
        <v>Yes</v>
      </c>
    </row>
    <row r="616" spans="1:32" x14ac:dyDescent="0.3">
      <c r="A616" t="s">
        <v>1175</v>
      </c>
      <c r="B616" s="1">
        <v>45722</v>
      </c>
      <c r="C616" t="s">
        <v>199</v>
      </c>
      <c r="D616">
        <f t="shared" si="18"/>
        <v>10</v>
      </c>
      <c r="E616" t="s">
        <v>72</v>
      </c>
      <c r="F616" t="s">
        <v>3</v>
      </c>
      <c r="G616" t="s">
        <v>98</v>
      </c>
      <c r="H616" t="s">
        <v>150</v>
      </c>
      <c r="I616" t="s">
        <v>151</v>
      </c>
      <c r="J616" t="s">
        <v>152</v>
      </c>
      <c r="K616" t="s">
        <v>27</v>
      </c>
      <c r="L616" t="s">
        <v>835</v>
      </c>
      <c r="M616" t="s">
        <v>162</v>
      </c>
      <c r="N616" t="s">
        <v>11</v>
      </c>
      <c r="O616">
        <v>23</v>
      </c>
      <c r="P616" t="s">
        <v>54</v>
      </c>
      <c r="Q616" t="s">
        <v>230</v>
      </c>
      <c r="R616" t="s">
        <v>231</v>
      </c>
      <c r="S616" t="s">
        <v>128</v>
      </c>
      <c r="T616" t="s">
        <v>35</v>
      </c>
      <c r="U616">
        <v>3</v>
      </c>
      <c r="V616">
        <v>62</v>
      </c>
      <c r="W616">
        <v>186</v>
      </c>
      <c r="X616">
        <v>10</v>
      </c>
      <c r="Y616">
        <v>502.2</v>
      </c>
      <c r="Z616">
        <v>316.2</v>
      </c>
      <c r="AA616" t="s">
        <v>36</v>
      </c>
      <c r="AB616" t="s">
        <v>119</v>
      </c>
      <c r="AC616">
        <v>3</v>
      </c>
      <c r="AD616" t="s">
        <v>19</v>
      </c>
      <c r="AE616" t="s">
        <v>20</v>
      </c>
      <c r="AF616" t="str">
        <f t="shared" si="19"/>
        <v>Yes</v>
      </c>
    </row>
    <row r="617" spans="1:32" x14ac:dyDescent="0.3">
      <c r="A617" t="s">
        <v>1176</v>
      </c>
      <c r="B617" s="1">
        <v>45713</v>
      </c>
      <c r="C617" t="s">
        <v>207</v>
      </c>
      <c r="D617">
        <f t="shared" si="18"/>
        <v>20</v>
      </c>
      <c r="E617" t="s">
        <v>145</v>
      </c>
      <c r="F617" t="s">
        <v>3</v>
      </c>
      <c r="G617" t="s">
        <v>181</v>
      </c>
      <c r="H617" t="s">
        <v>5</v>
      </c>
      <c r="I617" t="s">
        <v>6</v>
      </c>
      <c r="J617" t="s">
        <v>7</v>
      </c>
      <c r="K617" t="s">
        <v>8</v>
      </c>
      <c r="L617" t="s">
        <v>333</v>
      </c>
      <c r="M617" t="s">
        <v>261</v>
      </c>
      <c r="N617" t="s">
        <v>11</v>
      </c>
      <c r="O617">
        <v>44</v>
      </c>
      <c r="P617" t="s">
        <v>31</v>
      </c>
      <c r="Q617" t="s">
        <v>141</v>
      </c>
      <c r="R617" t="s">
        <v>142</v>
      </c>
      <c r="S617" t="s">
        <v>111</v>
      </c>
      <c r="T617" t="s">
        <v>16</v>
      </c>
      <c r="U617">
        <v>3</v>
      </c>
      <c r="V617">
        <v>35</v>
      </c>
      <c r="W617">
        <v>77</v>
      </c>
      <c r="X617">
        <v>5</v>
      </c>
      <c r="Y617">
        <v>219.45</v>
      </c>
      <c r="Z617">
        <v>114.45</v>
      </c>
      <c r="AA617" t="s">
        <v>179</v>
      </c>
      <c r="AB617" t="s">
        <v>37</v>
      </c>
      <c r="AC617">
        <v>5</v>
      </c>
      <c r="AD617" t="s">
        <v>19</v>
      </c>
      <c r="AE617" t="s">
        <v>20</v>
      </c>
      <c r="AF617" t="str">
        <f t="shared" si="19"/>
        <v>Yes</v>
      </c>
    </row>
    <row r="618" spans="1:32" x14ac:dyDescent="0.3">
      <c r="A618" t="s">
        <v>1177</v>
      </c>
      <c r="B618" s="1">
        <v>45735</v>
      </c>
      <c r="C618" t="s">
        <v>189</v>
      </c>
      <c r="D618">
        <f t="shared" si="18"/>
        <v>9</v>
      </c>
      <c r="E618" t="s">
        <v>72</v>
      </c>
      <c r="F618" t="s">
        <v>3</v>
      </c>
      <c r="G618" t="s">
        <v>73</v>
      </c>
      <c r="H618" t="s">
        <v>81</v>
      </c>
      <c r="I618" t="s">
        <v>82</v>
      </c>
      <c r="J618" t="s">
        <v>7</v>
      </c>
      <c r="K618" t="s">
        <v>323</v>
      </c>
      <c r="L618" t="s">
        <v>583</v>
      </c>
      <c r="M618" t="s">
        <v>10</v>
      </c>
      <c r="N618" t="s">
        <v>30</v>
      </c>
      <c r="O618">
        <v>42</v>
      </c>
      <c r="P618" t="s">
        <v>31</v>
      </c>
      <c r="Q618" t="s">
        <v>216</v>
      </c>
      <c r="R618" t="s">
        <v>217</v>
      </c>
      <c r="S618" t="s">
        <v>218</v>
      </c>
      <c r="T618" t="s">
        <v>35</v>
      </c>
      <c r="U618">
        <v>4</v>
      </c>
      <c r="V618">
        <v>67</v>
      </c>
      <c r="W618">
        <v>187.6</v>
      </c>
      <c r="X618">
        <v>5</v>
      </c>
      <c r="Y618">
        <v>712.88</v>
      </c>
      <c r="Z618">
        <v>444.88</v>
      </c>
      <c r="AA618" t="s">
        <v>17</v>
      </c>
      <c r="AB618" t="s">
        <v>37</v>
      </c>
      <c r="AD618" t="s">
        <v>19</v>
      </c>
      <c r="AE618" t="s">
        <v>20</v>
      </c>
      <c r="AF618" t="str">
        <f t="shared" si="19"/>
        <v>Yes</v>
      </c>
    </row>
    <row r="619" spans="1:32" x14ac:dyDescent="0.3">
      <c r="A619" t="s">
        <v>1178</v>
      </c>
      <c r="B619" s="1">
        <v>45774</v>
      </c>
      <c r="C619" t="s">
        <v>113</v>
      </c>
      <c r="D619">
        <f t="shared" si="18"/>
        <v>8</v>
      </c>
      <c r="E619" t="s">
        <v>60</v>
      </c>
      <c r="F619" t="s">
        <v>48</v>
      </c>
      <c r="G619" t="s">
        <v>4</v>
      </c>
      <c r="H619" t="s">
        <v>122</v>
      </c>
      <c r="I619" t="s">
        <v>123</v>
      </c>
      <c r="J619" t="s">
        <v>7</v>
      </c>
      <c r="K619" t="s">
        <v>196</v>
      </c>
      <c r="L619" t="s">
        <v>421</v>
      </c>
      <c r="M619" t="s">
        <v>29</v>
      </c>
      <c r="N619" t="s">
        <v>11</v>
      </c>
      <c r="O619">
        <v>19</v>
      </c>
      <c r="P619" t="s">
        <v>54</v>
      </c>
      <c r="Q619" t="s">
        <v>267</v>
      </c>
      <c r="R619" t="s">
        <v>268</v>
      </c>
      <c r="S619" t="s">
        <v>15</v>
      </c>
      <c r="T619" t="s">
        <v>35</v>
      </c>
      <c r="U619">
        <v>3</v>
      </c>
      <c r="V619">
        <v>87</v>
      </c>
      <c r="W619">
        <v>261</v>
      </c>
      <c r="X619">
        <v>5</v>
      </c>
      <c r="Y619">
        <v>743.85</v>
      </c>
      <c r="Z619">
        <v>482.85</v>
      </c>
      <c r="AA619" t="s">
        <v>179</v>
      </c>
      <c r="AB619" t="s">
        <v>18</v>
      </c>
      <c r="AD619" t="s">
        <v>19</v>
      </c>
      <c r="AE619" t="s">
        <v>95</v>
      </c>
      <c r="AF619" t="str">
        <f t="shared" si="19"/>
        <v>No</v>
      </c>
    </row>
    <row r="620" spans="1:32" x14ac:dyDescent="0.3">
      <c r="A620" t="s">
        <v>1179</v>
      </c>
      <c r="B620" s="1">
        <v>45695</v>
      </c>
      <c r="C620" t="s">
        <v>396</v>
      </c>
      <c r="D620">
        <f t="shared" si="18"/>
        <v>16</v>
      </c>
      <c r="E620" t="s">
        <v>145</v>
      </c>
      <c r="F620" t="s">
        <v>3</v>
      </c>
      <c r="G620" t="s">
        <v>40</v>
      </c>
      <c r="H620" t="s">
        <v>99</v>
      </c>
      <c r="I620" t="s">
        <v>100</v>
      </c>
      <c r="J620" t="s">
        <v>101</v>
      </c>
      <c r="K620" t="s">
        <v>245</v>
      </c>
      <c r="L620" t="s">
        <v>517</v>
      </c>
      <c r="M620" t="s">
        <v>10</v>
      </c>
      <c r="N620" t="s">
        <v>11</v>
      </c>
      <c r="O620">
        <v>18</v>
      </c>
      <c r="P620" t="s">
        <v>31</v>
      </c>
      <c r="Q620" t="s">
        <v>92</v>
      </c>
      <c r="R620" t="s">
        <v>93</v>
      </c>
      <c r="S620" t="s">
        <v>94</v>
      </c>
      <c r="T620" t="s">
        <v>16</v>
      </c>
      <c r="U620">
        <v>4</v>
      </c>
      <c r="V620">
        <v>85</v>
      </c>
      <c r="W620">
        <v>255</v>
      </c>
      <c r="X620">
        <v>0</v>
      </c>
      <c r="Y620">
        <v>1020</v>
      </c>
      <c r="Z620">
        <v>680</v>
      </c>
      <c r="AA620" t="s">
        <v>43</v>
      </c>
      <c r="AB620" t="s">
        <v>37</v>
      </c>
      <c r="AC620">
        <v>4</v>
      </c>
      <c r="AD620" t="s">
        <v>19</v>
      </c>
      <c r="AE620" t="s">
        <v>20</v>
      </c>
      <c r="AF620" t="str">
        <f t="shared" si="19"/>
        <v>Yes</v>
      </c>
    </row>
    <row r="621" spans="1:32" x14ac:dyDescent="0.3">
      <c r="A621" t="s">
        <v>1180</v>
      </c>
      <c r="B621" s="1">
        <v>45745</v>
      </c>
      <c r="C621" t="s">
        <v>407</v>
      </c>
      <c r="D621">
        <f t="shared" si="18"/>
        <v>8</v>
      </c>
      <c r="E621" t="s">
        <v>72</v>
      </c>
      <c r="F621" t="s">
        <v>3</v>
      </c>
      <c r="G621" t="s">
        <v>132</v>
      </c>
      <c r="H621" t="s">
        <v>5</v>
      </c>
      <c r="I621" t="s">
        <v>6</v>
      </c>
      <c r="J621" t="s">
        <v>7</v>
      </c>
      <c r="K621" t="s">
        <v>270</v>
      </c>
      <c r="L621" t="s">
        <v>246</v>
      </c>
      <c r="M621" t="s">
        <v>53</v>
      </c>
      <c r="N621" t="s">
        <v>11</v>
      </c>
      <c r="O621">
        <v>49</v>
      </c>
      <c r="P621" t="s">
        <v>54</v>
      </c>
      <c r="Q621" t="s">
        <v>92</v>
      </c>
      <c r="R621" t="s">
        <v>93</v>
      </c>
      <c r="S621" t="s">
        <v>94</v>
      </c>
      <c r="T621" t="s">
        <v>16</v>
      </c>
      <c r="U621">
        <v>1</v>
      </c>
      <c r="V621">
        <v>85</v>
      </c>
      <c r="W621">
        <v>255</v>
      </c>
      <c r="X621">
        <v>5</v>
      </c>
      <c r="Y621">
        <v>242.25</v>
      </c>
      <c r="Z621">
        <v>157.25</v>
      </c>
      <c r="AA621" t="s">
        <v>69</v>
      </c>
      <c r="AB621" t="s">
        <v>37</v>
      </c>
      <c r="AC621">
        <v>5</v>
      </c>
      <c r="AD621" t="s">
        <v>19</v>
      </c>
      <c r="AE621" t="s">
        <v>20</v>
      </c>
      <c r="AF621" t="str">
        <f t="shared" si="19"/>
        <v>Yes</v>
      </c>
    </row>
    <row r="622" spans="1:32" x14ac:dyDescent="0.3">
      <c r="A622" t="s">
        <v>1181</v>
      </c>
      <c r="B622" s="1">
        <v>45758</v>
      </c>
      <c r="C622" t="s">
        <v>758</v>
      </c>
      <c r="D622">
        <f t="shared" si="18"/>
        <v>12</v>
      </c>
      <c r="E622" t="s">
        <v>60</v>
      </c>
      <c r="F622" t="s">
        <v>48</v>
      </c>
      <c r="G622" t="s">
        <v>40</v>
      </c>
      <c r="H622" t="s">
        <v>164</v>
      </c>
      <c r="I622" t="s">
        <v>165</v>
      </c>
      <c r="J622" t="s">
        <v>166</v>
      </c>
      <c r="K622" t="s">
        <v>270</v>
      </c>
      <c r="L622" t="s">
        <v>708</v>
      </c>
      <c r="M622" t="s">
        <v>162</v>
      </c>
      <c r="N622" t="s">
        <v>11</v>
      </c>
      <c r="O622">
        <v>50</v>
      </c>
      <c r="P622" t="s">
        <v>54</v>
      </c>
      <c r="Q622" t="s">
        <v>506</v>
      </c>
      <c r="R622" t="s">
        <v>507</v>
      </c>
      <c r="S622" t="s">
        <v>118</v>
      </c>
      <c r="T622" t="s">
        <v>16</v>
      </c>
      <c r="U622">
        <v>2</v>
      </c>
      <c r="V622">
        <v>39</v>
      </c>
      <c r="W622">
        <v>109.2</v>
      </c>
      <c r="X622">
        <v>0</v>
      </c>
      <c r="Y622">
        <v>218.4</v>
      </c>
      <c r="Z622">
        <v>140.4</v>
      </c>
      <c r="AA622" t="s">
        <v>17</v>
      </c>
      <c r="AB622" t="s">
        <v>18</v>
      </c>
      <c r="AD622" t="s">
        <v>105</v>
      </c>
      <c r="AE622" t="s">
        <v>20</v>
      </c>
      <c r="AF622" t="str">
        <f t="shared" si="19"/>
        <v>Yes</v>
      </c>
    </row>
    <row r="623" spans="1:32" x14ac:dyDescent="0.3">
      <c r="A623" t="s">
        <v>1182</v>
      </c>
      <c r="B623" s="1">
        <v>45830</v>
      </c>
      <c r="C623" t="s">
        <v>191</v>
      </c>
      <c r="D623">
        <f t="shared" si="18"/>
        <v>19</v>
      </c>
      <c r="E623" t="s">
        <v>131</v>
      </c>
      <c r="F623" t="s">
        <v>48</v>
      </c>
      <c r="G623" t="s">
        <v>4</v>
      </c>
      <c r="H623" t="s">
        <v>24</v>
      </c>
      <c r="I623" t="s">
        <v>25</v>
      </c>
      <c r="J623" t="s">
        <v>26</v>
      </c>
      <c r="K623" t="s">
        <v>74</v>
      </c>
      <c r="L623" t="s">
        <v>1183</v>
      </c>
      <c r="M623" t="s">
        <v>184</v>
      </c>
      <c r="N623" t="s">
        <v>11</v>
      </c>
      <c r="O623">
        <v>45</v>
      </c>
      <c r="P623" t="s">
        <v>54</v>
      </c>
      <c r="Q623" t="s">
        <v>308</v>
      </c>
      <c r="R623" t="s">
        <v>309</v>
      </c>
      <c r="S623" t="s">
        <v>187</v>
      </c>
      <c r="T623" t="s">
        <v>35</v>
      </c>
      <c r="U623">
        <v>1</v>
      </c>
      <c r="V623">
        <v>31</v>
      </c>
      <c r="W623">
        <v>77.5</v>
      </c>
      <c r="X623">
        <v>0</v>
      </c>
      <c r="Y623">
        <v>77.5</v>
      </c>
      <c r="Z623">
        <v>46.5</v>
      </c>
      <c r="AA623" t="s">
        <v>36</v>
      </c>
      <c r="AB623" t="s">
        <v>18</v>
      </c>
      <c r="AC623">
        <v>4</v>
      </c>
      <c r="AD623" t="s">
        <v>105</v>
      </c>
      <c r="AE623" t="s">
        <v>20</v>
      </c>
      <c r="AF623" t="str">
        <f t="shared" si="19"/>
        <v>Yes</v>
      </c>
    </row>
    <row r="624" spans="1:32" x14ac:dyDescent="0.3">
      <c r="A624" t="s">
        <v>1184</v>
      </c>
      <c r="B624" s="1">
        <v>45705</v>
      </c>
      <c r="C624" t="s">
        <v>244</v>
      </c>
      <c r="D624">
        <f t="shared" si="18"/>
        <v>20</v>
      </c>
      <c r="E624" t="s">
        <v>145</v>
      </c>
      <c r="F624" t="s">
        <v>3</v>
      </c>
      <c r="G624" t="s">
        <v>23</v>
      </c>
      <c r="H624" t="s">
        <v>159</v>
      </c>
      <c r="I624" t="s">
        <v>160</v>
      </c>
      <c r="J624" t="s">
        <v>161</v>
      </c>
      <c r="K624" t="s">
        <v>153</v>
      </c>
      <c r="L624" t="s">
        <v>168</v>
      </c>
      <c r="M624" t="s">
        <v>53</v>
      </c>
      <c r="N624" t="s">
        <v>30</v>
      </c>
      <c r="O624">
        <v>64</v>
      </c>
      <c r="P624" t="s">
        <v>76</v>
      </c>
      <c r="Q624" t="s">
        <v>155</v>
      </c>
      <c r="R624" t="s">
        <v>156</v>
      </c>
      <c r="S624" t="s">
        <v>34</v>
      </c>
      <c r="T624" t="s">
        <v>16</v>
      </c>
      <c r="U624">
        <v>3</v>
      </c>
      <c r="V624">
        <v>40</v>
      </c>
      <c r="W624">
        <v>100</v>
      </c>
      <c r="X624">
        <v>10</v>
      </c>
      <c r="Y624">
        <v>270</v>
      </c>
      <c r="Z624">
        <v>150</v>
      </c>
      <c r="AA624" t="s">
        <v>17</v>
      </c>
      <c r="AB624" t="s">
        <v>119</v>
      </c>
      <c r="AC624">
        <v>4</v>
      </c>
      <c r="AD624" t="s">
        <v>19</v>
      </c>
      <c r="AE624" t="s">
        <v>20</v>
      </c>
      <c r="AF624" t="str">
        <f t="shared" si="19"/>
        <v>Yes</v>
      </c>
    </row>
    <row r="625" spans="1:32" x14ac:dyDescent="0.3">
      <c r="A625" t="s">
        <v>1185</v>
      </c>
      <c r="B625" s="1">
        <v>45698</v>
      </c>
      <c r="C625" t="s">
        <v>349</v>
      </c>
      <c r="D625">
        <f t="shared" si="18"/>
        <v>21</v>
      </c>
      <c r="E625" t="s">
        <v>145</v>
      </c>
      <c r="F625" t="s">
        <v>3</v>
      </c>
      <c r="G625" t="s">
        <v>23</v>
      </c>
      <c r="H625" t="s">
        <v>81</v>
      </c>
      <c r="I625" t="s">
        <v>82</v>
      </c>
      <c r="J625" t="s">
        <v>7</v>
      </c>
      <c r="K625" t="s">
        <v>27</v>
      </c>
      <c r="L625" t="s">
        <v>1186</v>
      </c>
      <c r="M625" t="s">
        <v>53</v>
      </c>
      <c r="N625" t="s">
        <v>30</v>
      </c>
      <c r="O625">
        <v>65</v>
      </c>
      <c r="P625" t="s">
        <v>31</v>
      </c>
      <c r="Q625" t="s">
        <v>185</v>
      </c>
      <c r="R625" t="s">
        <v>186</v>
      </c>
      <c r="S625" t="s">
        <v>187</v>
      </c>
      <c r="T625" t="s">
        <v>35</v>
      </c>
      <c r="U625">
        <v>2</v>
      </c>
      <c r="V625">
        <v>57</v>
      </c>
      <c r="W625">
        <v>159.6</v>
      </c>
      <c r="X625">
        <v>0</v>
      </c>
      <c r="Y625">
        <v>319.2</v>
      </c>
      <c r="Z625">
        <v>205.2</v>
      </c>
      <c r="AA625" t="s">
        <v>36</v>
      </c>
      <c r="AB625" t="s">
        <v>44</v>
      </c>
      <c r="AC625">
        <v>3</v>
      </c>
      <c r="AD625" t="s">
        <v>19</v>
      </c>
      <c r="AE625" t="s">
        <v>20</v>
      </c>
      <c r="AF625" t="str">
        <f t="shared" si="19"/>
        <v>Yes</v>
      </c>
    </row>
    <row r="626" spans="1:32" x14ac:dyDescent="0.3">
      <c r="A626" t="s">
        <v>1187</v>
      </c>
      <c r="B626" s="1">
        <v>45664</v>
      </c>
      <c r="C626" t="s">
        <v>554</v>
      </c>
      <c r="D626">
        <f t="shared" si="18"/>
        <v>11</v>
      </c>
      <c r="E626" t="s">
        <v>2</v>
      </c>
      <c r="F626" t="s">
        <v>3</v>
      </c>
      <c r="G626" t="s">
        <v>181</v>
      </c>
      <c r="H626" t="s">
        <v>159</v>
      </c>
      <c r="I626" t="s">
        <v>160</v>
      </c>
      <c r="J626" t="s">
        <v>161</v>
      </c>
      <c r="K626" t="s">
        <v>182</v>
      </c>
      <c r="L626" t="s">
        <v>806</v>
      </c>
      <c r="M626" t="s">
        <v>162</v>
      </c>
      <c r="N626" t="s">
        <v>30</v>
      </c>
      <c r="O626">
        <v>49</v>
      </c>
      <c r="P626" t="s">
        <v>76</v>
      </c>
      <c r="Q626" t="s">
        <v>211</v>
      </c>
      <c r="R626" t="s">
        <v>212</v>
      </c>
      <c r="S626" t="s">
        <v>128</v>
      </c>
      <c r="T626" t="s">
        <v>16</v>
      </c>
      <c r="U626">
        <v>4</v>
      </c>
      <c r="V626">
        <v>50</v>
      </c>
      <c r="W626">
        <v>140</v>
      </c>
      <c r="X626">
        <v>5</v>
      </c>
      <c r="Y626">
        <v>532</v>
      </c>
      <c r="Z626">
        <v>332</v>
      </c>
      <c r="AA626" t="s">
        <v>179</v>
      </c>
      <c r="AB626" t="s">
        <v>129</v>
      </c>
      <c r="AC626">
        <v>4</v>
      </c>
      <c r="AD626" t="s">
        <v>19</v>
      </c>
      <c r="AE626" t="s">
        <v>20</v>
      </c>
      <c r="AF626" t="str">
        <f t="shared" si="19"/>
        <v>Yes</v>
      </c>
    </row>
    <row r="627" spans="1:32" x14ac:dyDescent="0.3">
      <c r="A627" t="s">
        <v>1188</v>
      </c>
      <c r="B627" s="1">
        <v>45797</v>
      </c>
      <c r="C627" t="s">
        <v>337</v>
      </c>
      <c r="D627">
        <f t="shared" si="18"/>
        <v>17</v>
      </c>
      <c r="E627" t="s">
        <v>47</v>
      </c>
      <c r="F627" t="s">
        <v>48</v>
      </c>
      <c r="G627" t="s">
        <v>181</v>
      </c>
      <c r="H627" t="s">
        <v>24</v>
      </c>
      <c r="I627" t="s">
        <v>25</v>
      </c>
      <c r="J627" t="s">
        <v>26</v>
      </c>
      <c r="K627" t="s">
        <v>346</v>
      </c>
      <c r="L627" t="s">
        <v>571</v>
      </c>
      <c r="M627" t="s">
        <v>184</v>
      </c>
      <c r="N627" t="s">
        <v>30</v>
      </c>
      <c r="O627">
        <v>16</v>
      </c>
      <c r="P627" t="s">
        <v>12</v>
      </c>
      <c r="Q627" t="s">
        <v>230</v>
      </c>
      <c r="R627" t="s">
        <v>231</v>
      </c>
      <c r="S627" t="s">
        <v>128</v>
      </c>
      <c r="T627" t="s">
        <v>35</v>
      </c>
      <c r="U627">
        <v>3</v>
      </c>
      <c r="V627">
        <v>62</v>
      </c>
      <c r="W627">
        <v>186</v>
      </c>
      <c r="X627">
        <v>15</v>
      </c>
      <c r="Y627">
        <v>474.3</v>
      </c>
      <c r="Z627">
        <v>288.3</v>
      </c>
      <c r="AA627" t="s">
        <v>17</v>
      </c>
      <c r="AB627" t="s">
        <v>18</v>
      </c>
      <c r="AD627" t="s">
        <v>19</v>
      </c>
      <c r="AE627" t="s">
        <v>95</v>
      </c>
      <c r="AF627" t="str">
        <f t="shared" si="19"/>
        <v>No</v>
      </c>
    </row>
    <row r="628" spans="1:32" x14ac:dyDescent="0.3">
      <c r="A628" t="s">
        <v>1189</v>
      </c>
      <c r="B628" s="1">
        <v>45712</v>
      </c>
      <c r="C628" t="s">
        <v>199</v>
      </c>
      <c r="D628">
        <f t="shared" si="18"/>
        <v>10</v>
      </c>
      <c r="E628" t="s">
        <v>145</v>
      </c>
      <c r="F628" t="s">
        <v>3</v>
      </c>
      <c r="G628" t="s">
        <v>23</v>
      </c>
      <c r="H628" t="s">
        <v>164</v>
      </c>
      <c r="I628" t="s">
        <v>165</v>
      </c>
      <c r="J628" t="s">
        <v>166</v>
      </c>
      <c r="K628" t="s">
        <v>245</v>
      </c>
      <c r="L628" t="s">
        <v>279</v>
      </c>
      <c r="M628" t="s">
        <v>29</v>
      </c>
      <c r="N628" t="s">
        <v>11</v>
      </c>
      <c r="O628">
        <v>41</v>
      </c>
      <c r="P628" t="s">
        <v>12</v>
      </c>
      <c r="Q628" t="s">
        <v>155</v>
      </c>
      <c r="R628" t="s">
        <v>156</v>
      </c>
      <c r="S628" t="s">
        <v>34</v>
      </c>
      <c r="T628" t="s">
        <v>16</v>
      </c>
      <c r="U628">
        <v>3</v>
      </c>
      <c r="V628">
        <v>40</v>
      </c>
      <c r="W628">
        <v>100</v>
      </c>
      <c r="X628">
        <v>5</v>
      </c>
      <c r="Y628">
        <v>285</v>
      </c>
      <c r="Z628">
        <v>165</v>
      </c>
      <c r="AA628" t="s">
        <v>36</v>
      </c>
      <c r="AB628" t="s">
        <v>37</v>
      </c>
      <c r="AC628">
        <v>4</v>
      </c>
      <c r="AD628" t="s">
        <v>19</v>
      </c>
      <c r="AE628" t="s">
        <v>20</v>
      </c>
      <c r="AF628" t="str">
        <f t="shared" si="19"/>
        <v>Yes</v>
      </c>
    </row>
    <row r="629" spans="1:32" x14ac:dyDescent="0.3">
      <c r="A629" t="s">
        <v>1190</v>
      </c>
      <c r="B629" s="1">
        <v>45723</v>
      </c>
      <c r="C629" t="s">
        <v>207</v>
      </c>
      <c r="D629">
        <f t="shared" si="18"/>
        <v>20</v>
      </c>
      <c r="E629" t="s">
        <v>72</v>
      </c>
      <c r="F629" t="s">
        <v>3</v>
      </c>
      <c r="G629" t="s">
        <v>40</v>
      </c>
      <c r="H629" t="s">
        <v>122</v>
      </c>
      <c r="I629" t="s">
        <v>123</v>
      </c>
      <c r="J629" t="s">
        <v>7</v>
      </c>
      <c r="K629" t="s">
        <v>146</v>
      </c>
      <c r="L629" t="s">
        <v>1191</v>
      </c>
      <c r="M629" t="s">
        <v>162</v>
      </c>
      <c r="N629" t="s">
        <v>11</v>
      </c>
      <c r="O629">
        <v>17</v>
      </c>
      <c r="P629" t="s">
        <v>76</v>
      </c>
      <c r="Q629" t="s">
        <v>116</v>
      </c>
      <c r="R629" t="s">
        <v>117</v>
      </c>
      <c r="S629" t="s">
        <v>118</v>
      </c>
      <c r="T629" t="s">
        <v>35</v>
      </c>
      <c r="U629">
        <v>1</v>
      </c>
      <c r="V629">
        <v>99</v>
      </c>
      <c r="W629">
        <v>277.2</v>
      </c>
      <c r="X629">
        <v>0</v>
      </c>
      <c r="Y629">
        <v>277.2</v>
      </c>
      <c r="Z629">
        <v>178.2</v>
      </c>
      <c r="AA629" t="s">
        <v>36</v>
      </c>
      <c r="AB629" t="s">
        <v>87</v>
      </c>
      <c r="AC629">
        <v>4</v>
      </c>
      <c r="AD629" t="s">
        <v>105</v>
      </c>
      <c r="AE629" t="s">
        <v>95</v>
      </c>
      <c r="AF629" t="str">
        <f t="shared" si="19"/>
        <v>No</v>
      </c>
    </row>
    <row r="630" spans="1:32" x14ac:dyDescent="0.3">
      <c r="A630" t="s">
        <v>1192</v>
      </c>
      <c r="B630" s="1">
        <v>45686</v>
      </c>
      <c r="C630" t="s">
        <v>683</v>
      </c>
      <c r="D630">
        <f t="shared" si="18"/>
        <v>15</v>
      </c>
      <c r="E630" t="s">
        <v>2</v>
      </c>
      <c r="F630" t="s">
        <v>3</v>
      </c>
      <c r="G630" t="s">
        <v>73</v>
      </c>
      <c r="H630" t="s">
        <v>61</v>
      </c>
      <c r="I630" t="s">
        <v>62</v>
      </c>
      <c r="J630" t="s">
        <v>7</v>
      </c>
      <c r="K630" t="s">
        <v>27</v>
      </c>
      <c r="L630" t="s">
        <v>544</v>
      </c>
      <c r="M630" t="s">
        <v>184</v>
      </c>
      <c r="N630" t="s">
        <v>11</v>
      </c>
      <c r="O630">
        <v>41</v>
      </c>
      <c r="P630" t="s">
        <v>91</v>
      </c>
      <c r="Q630" t="s">
        <v>170</v>
      </c>
      <c r="R630" t="s">
        <v>171</v>
      </c>
      <c r="S630" t="s">
        <v>172</v>
      </c>
      <c r="T630" t="s">
        <v>35</v>
      </c>
      <c r="U630">
        <v>2</v>
      </c>
      <c r="V630">
        <v>72</v>
      </c>
      <c r="W630">
        <v>216</v>
      </c>
      <c r="X630">
        <v>10</v>
      </c>
      <c r="Y630">
        <v>388.8</v>
      </c>
      <c r="Z630">
        <v>244.8</v>
      </c>
      <c r="AA630" t="s">
        <v>36</v>
      </c>
      <c r="AB630" t="s">
        <v>37</v>
      </c>
      <c r="AD630" t="s">
        <v>105</v>
      </c>
      <c r="AE630" t="s">
        <v>20</v>
      </c>
      <c r="AF630" t="str">
        <f t="shared" si="19"/>
        <v>Yes</v>
      </c>
    </row>
    <row r="631" spans="1:32" x14ac:dyDescent="0.3">
      <c r="A631" t="s">
        <v>1193</v>
      </c>
      <c r="B631" s="1">
        <v>45834</v>
      </c>
      <c r="C631" t="s">
        <v>80</v>
      </c>
      <c r="D631">
        <f t="shared" si="18"/>
        <v>10</v>
      </c>
      <c r="E631" t="s">
        <v>131</v>
      </c>
      <c r="F631" t="s">
        <v>48</v>
      </c>
      <c r="G631" t="s">
        <v>98</v>
      </c>
      <c r="H631" t="s">
        <v>61</v>
      </c>
      <c r="I631" t="s">
        <v>62</v>
      </c>
      <c r="J631" t="s">
        <v>7</v>
      </c>
      <c r="K631" t="s">
        <v>74</v>
      </c>
      <c r="L631" t="s">
        <v>1194</v>
      </c>
      <c r="M631" t="s">
        <v>169</v>
      </c>
      <c r="N631" t="s">
        <v>11</v>
      </c>
      <c r="O631">
        <v>26</v>
      </c>
      <c r="P631" t="s">
        <v>76</v>
      </c>
      <c r="Q631" t="s">
        <v>230</v>
      </c>
      <c r="R631" t="s">
        <v>231</v>
      </c>
      <c r="S631" t="s">
        <v>128</v>
      </c>
      <c r="T631" t="s">
        <v>35</v>
      </c>
      <c r="U631">
        <v>2</v>
      </c>
      <c r="V631">
        <v>62</v>
      </c>
      <c r="W631">
        <v>186</v>
      </c>
      <c r="X631">
        <v>10</v>
      </c>
      <c r="Y631">
        <v>334.8</v>
      </c>
      <c r="Z631">
        <v>210.8</v>
      </c>
      <c r="AA631" t="s">
        <v>179</v>
      </c>
      <c r="AB631" t="s">
        <v>119</v>
      </c>
      <c r="AC631">
        <v>4</v>
      </c>
      <c r="AD631" t="s">
        <v>19</v>
      </c>
      <c r="AE631" t="s">
        <v>20</v>
      </c>
      <c r="AF631" t="str">
        <f t="shared" si="19"/>
        <v>Yes</v>
      </c>
    </row>
    <row r="632" spans="1:32" x14ac:dyDescent="0.3">
      <c r="A632" t="s">
        <v>1195</v>
      </c>
      <c r="B632" s="1">
        <v>45664</v>
      </c>
      <c r="C632" t="s">
        <v>351</v>
      </c>
      <c r="D632">
        <f t="shared" si="18"/>
        <v>9</v>
      </c>
      <c r="E632" t="s">
        <v>2</v>
      </c>
      <c r="F632" t="s">
        <v>3</v>
      </c>
      <c r="G632" t="s">
        <v>181</v>
      </c>
      <c r="H632" t="s">
        <v>24</v>
      </c>
      <c r="I632" t="s">
        <v>25</v>
      </c>
      <c r="J632" t="s">
        <v>26</v>
      </c>
      <c r="K632" t="s">
        <v>270</v>
      </c>
      <c r="L632" t="s">
        <v>786</v>
      </c>
      <c r="M632" t="s">
        <v>225</v>
      </c>
      <c r="N632" t="s">
        <v>30</v>
      </c>
      <c r="O632">
        <v>24</v>
      </c>
      <c r="P632" t="s">
        <v>76</v>
      </c>
      <c r="Q632" t="s">
        <v>240</v>
      </c>
      <c r="R632" t="s">
        <v>241</v>
      </c>
      <c r="S632" t="s">
        <v>242</v>
      </c>
      <c r="T632" t="s">
        <v>35</v>
      </c>
      <c r="U632">
        <v>2</v>
      </c>
      <c r="V632">
        <v>89</v>
      </c>
      <c r="W632">
        <v>267</v>
      </c>
      <c r="X632">
        <v>0</v>
      </c>
      <c r="Y632">
        <v>534</v>
      </c>
      <c r="Z632">
        <v>356</v>
      </c>
      <c r="AA632" t="s">
        <v>179</v>
      </c>
      <c r="AB632" t="s">
        <v>18</v>
      </c>
      <c r="AC632">
        <v>4</v>
      </c>
      <c r="AD632" t="s">
        <v>19</v>
      </c>
      <c r="AE632" t="s">
        <v>20</v>
      </c>
      <c r="AF632" t="str">
        <f t="shared" si="19"/>
        <v>Yes</v>
      </c>
    </row>
    <row r="633" spans="1:32" x14ac:dyDescent="0.3">
      <c r="A633" t="s">
        <v>1196</v>
      </c>
      <c r="B633" s="1">
        <v>45688</v>
      </c>
      <c r="C633" t="s">
        <v>414</v>
      </c>
      <c r="D633">
        <f t="shared" si="18"/>
        <v>17</v>
      </c>
      <c r="E633" t="s">
        <v>2</v>
      </c>
      <c r="F633" t="s">
        <v>3</v>
      </c>
      <c r="G633" t="s">
        <v>40</v>
      </c>
      <c r="H633" t="s">
        <v>49</v>
      </c>
      <c r="I633" t="s">
        <v>50</v>
      </c>
      <c r="J633" t="s">
        <v>7</v>
      </c>
      <c r="K633" t="s">
        <v>352</v>
      </c>
      <c r="L633" t="s">
        <v>1197</v>
      </c>
      <c r="M633" t="s">
        <v>169</v>
      </c>
      <c r="N633" t="s">
        <v>30</v>
      </c>
      <c r="O633">
        <v>54</v>
      </c>
      <c r="P633" t="s">
        <v>31</v>
      </c>
      <c r="Q633" t="s">
        <v>170</v>
      </c>
      <c r="R633" t="s">
        <v>171</v>
      </c>
      <c r="S633" t="s">
        <v>172</v>
      </c>
      <c r="T633" t="s">
        <v>35</v>
      </c>
      <c r="U633">
        <v>3</v>
      </c>
      <c r="V633">
        <v>72</v>
      </c>
      <c r="W633">
        <v>216</v>
      </c>
      <c r="X633">
        <v>10</v>
      </c>
      <c r="Y633">
        <v>583.20000000000005</v>
      </c>
      <c r="Z633">
        <v>367.2</v>
      </c>
      <c r="AA633" t="s">
        <v>36</v>
      </c>
      <c r="AB633" t="s">
        <v>129</v>
      </c>
      <c r="AC633">
        <v>5</v>
      </c>
      <c r="AD633" t="s">
        <v>105</v>
      </c>
      <c r="AE633" t="s">
        <v>20</v>
      </c>
      <c r="AF633" t="str">
        <f t="shared" si="19"/>
        <v>Yes</v>
      </c>
    </row>
    <row r="634" spans="1:32" x14ac:dyDescent="0.3">
      <c r="A634" t="s">
        <v>1198</v>
      </c>
      <c r="B634" s="1">
        <v>45766</v>
      </c>
      <c r="C634" t="s">
        <v>373</v>
      </c>
      <c r="D634">
        <f t="shared" si="18"/>
        <v>9</v>
      </c>
      <c r="E634" t="s">
        <v>60</v>
      </c>
      <c r="F634" t="s">
        <v>48</v>
      </c>
      <c r="G634" t="s">
        <v>132</v>
      </c>
      <c r="H634" t="s">
        <v>159</v>
      </c>
      <c r="I634" t="s">
        <v>160</v>
      </c>
      <c r="J634" t="s">
        <v>161</v>
      </c>
      <c r="K634" t="s">
        <v>270</v>
      </c>
      <c r="L634" t="s">
        <v>1054</v>
      </c>
      <c r="M634" t="s">
        <v>169</v>
      </c>
      <c r="N634" t="s">
        <v>30</v>
      </c>
      <c r="O634">
        <v>23</v>
      </c>
      <c r="P634" t="s">
        <v>91</v>
      </c>
      <c r="Q634" t="s">
        <v>103</v>
      </c>
      <c r="R634" t="s">
        <v>104</v>
      </c>
      <c r="S634" t="s">
        <v>94</v>
      </c>
      <c r="T634" t="s">
        <v>35</v>
      </c>
      <c r="U634">
        <v>2</v>
      </c>
      <c r="V634">
        <v>57</v>
      </c>
      <c r="W634">
        <v>159.6</v>
      </c>
      <c r="X634">
        <v>15</v>
      </c>
      <c r="Y634">
        <v>271.32</v>
      </c>
      <c r="Z634">
        <v>157.32</v>
      </c>
      <c r="AA634" t="s">
        <v>17</v>
      </c>
      <c r="AB634" t="s">
        <v>18</v>
      </c>
      <c r="AC634">
        <v>5</v>
      </c>
      <c r="AD634" t="s">
        <v>19</v>
      </c>
      <c r="AE634" t="s">
        <v>95</v>
      </c>
      <c r="AF634" t="str">
        <f t="shared" si="19"/>
        <v>No</v>
      </c>
    </row>
    <row r="635" spans="1:32" x14ac:dyDescent="0.3">
      <c r="A635" t="s">
        <v>1199</v>
      </c>
      <c r="B635" s="1">
        <v>45678</v>
      </c>
      <c r="C635" t="s">
        <v>425</v>
      </c>
      <c r="D635">
        <f t="shared" si="18"/>
        <v>15</v>
      </c>
      <c r="E635" t="s">
        <v>2</v>
      </c>
      <c r="F635" t="s">
        <v>3</v>
      </c>
      <c r="G635" t="s">
        <v>181</v>
      </c>
      <c r="H635" t="s">
        <v>99</v>
      </c>
      <c r="I635" t="s">
        <v>100</v>
      </c>
      <c r="J635" t="s">
        <v>101</v>
      </c>
      <c r="K635" t="s">
        <v>51</v>
      </c>
      <c r="L635" t="s">
        <v>591</v>
      </c>
      <c r="M635" t="s">
        <v>225</v>
      </c>
      <c r="N635" t="s">
        <v>30</v>
      </c>
      <c r="O635">
        <v>51</v>
      </c>
      <c r="P635" t="s">
        <v>76</v>
      </c>
      <c r="Q635" t="s">
        <v>409</v>
      </c>
      <c r="R635" t="s">
        <v>410</v>
      </c>
      <c r="S635" t="s">
        <v>237</v>
      </c>
      <c r="T635" t="s">
        <v>16</v>
      </c>
      <c r="U635">
        <v>2</v>
      </c>
      <c r="V635">
        <v>26</v>
      </c>
      <c r="W635">
        <v>78</v>
      </c>
      <c r="X635">
        <v>15</v>
      </c>
      <c r="Y635">
        <v>132.6</v>
      </c>
      <c r="Z635">
        <v>80.599999999999994</v>
      </c>
      <c r="AA635" t="s">
        <v>179</v>
      </c>
      <c r="AB635" t="s">
        <v>37</v>
      </c>
      <c r="AC635">
        <v>4</v>
      </c>
      <c r="AD635" t="s">
        <v>105</v>
      </c>
      <c r="AE635" t="s">
        <v>20</v>
      </c>
      <c r="AF635" t="str">
        <f t="shared" si="19"/>
        <v>Yes</v>
      </c>
    </row>
    <row r="636" spans="1:32" x14ac:dyDescent="0.3">
      <c r="A636" t="s">
        <v>1200</v>
      </c>
      <c r="B636" s="1">
        <v>45740</v>
      </c>
      <c r="C636" t="s">
        <v>158</v>
      </c>
      <c r="D636">
        <f t="shared" si="18"/>
        <v>8</v>
      </c>
      <c r="E636" t="s">
        <v>72</v>
      </c>
      <c r="F636" t="s">
        <v>3</v>
      </c>
      <c r="G636" t="s">
        <v>23</v>
      </c>
      <c r="H636" t="s">
        <v>61</v>
      </c>
      <c r="I636" t="s">
        <v>62</v>
      </c>
      <c r="J636" t="s">
        <v>7</v>
      </c>
      <c r="K636" t="s">
        <v>74</v>
      </c>
      <c r="L636" t="s">
        <v>294</v>
      </c>
      <c r="M636" t="s">
        <v>225</v>
      </c>
      <c r="N636" t="s">
        <v>30</v>
      </c>
      <c r="O636">
        <v>42</v>
      </c>
      <c r="P636" t="s">
        <v>12</v>
      </c>
      <c r="Q636" t="s">
        <v>280</v>
      </c>
      <c r="R636" t="s">
        <v>281</v>
      </c>
      <c r="S636" t="s">
        <v>218</v>
      </c>
      <c r="T636" t="s">
        <v>16</v>
      </c>
      <c r="U636">
        <v>2</v>
      </c>
      <c r="V636">
        <v>34</v>
      </c>
      <c r="W636">
        <v>74.8</v>
      </c>
      <c r="X636">
        <v>0</v>
      </c>
      <c r="Y636">
        <v>149.6</v>
      </c>
      <c r="Z636">
        <v>81.599999999999994</v>
      </c>
      <c r="AA636" t="s">
        <v>179</v>
      </c>
      <c r="AB636" t="s">
        <v>87</v>
      </c>
      <c r="AC636">
        <v>5</v>
      </c>
      <c r="AD636" t="s">
        <v>19</v>
      </c>
      <c r="AE636" t="s">
        <v>20</v>
      </c>
      <c r="AF636" t="str">
        <f t="shared" si="19"/>
        <v>Yes</v>
      </c>
    </row>
    <row r="637" spans="1:32" x14ac:dyDescent="0.3">
      <c r="A637" t="s">
        <v>1201</v>
      </c>
      <c r="B637" s="1">
        <v>45705</v>
      </c>
      <c r="C637" t="s">
        <v>474</v>
      </c>
      <c r="D637">
        <f t="shared" si="18"/>
        <v>12</v>
      </c>
      <c r="E637" t="s">
        <v>145</v>
      </c>
      <c r="F637" t="s">
        <v>3</v>
      </c>
      <c r="G637" t="s">
        <v>23</v>
      </c>
      <c r="H637" t="s">
        <v>164</v>
      </c>
      <c r="I637" t="s">
        <v>165</v>
      </c>
      <c r="J637" t="s">
        <v>166</v>
      </c>
      <c r="K637" t="s">
        <v>196</v>
      </c>
      <c r="L637" t="s">
        <v>363</v>
      </c>
      <c r="M637" t="s">
        <v>261</v>
      </c>
      <c r="N637" t="s">
        <v>30</v>
      </c>
      <c r="O637">
        <v>41</v>
      </c>
      <c r="P637" t="s">
        <v>76</v>
      </c>
      <c r="Q637" t="s">
        <v>409</v>
      </c>
      <c r="R637" t="s">
        <v>410</v>
      </c>
      <c r="S637" t="s">
        <v>237</v>
      </c>
      <c r="T637" t="s">
        <v>16</v>
      </c>
      <c r="U637">
        <v>1</v>
      </c>
      <c r="V637">
        <v>26</v>
      </c>
      <c r="W637">
        <v>78</v>
      </c>
      <c r="X637">
        <v>15</v>
      </c>
      <c r="Y637">
        <v>66.3</v>
      </c>
      <c r="Z637">
        <v>40.299999999999997</v>
      </c>
      <c r="AA637" t="s">
        <v>17</v>
      </c>
      <c r="AB637" t="s">
        <v>129</v>
      </c>
      <c r="AC637">
        <v>4</v>
      </c>
      <c r="AD637" t="s">
        <v>19</v>
      </c>
      <c r="AE637" t="s">
        <v>20</v>
      </c>
      <c r="AF637" t="str">
        <f t="shared" si="19"/>
        <v>Yes</v>
      </c>
    </row>
    <row r="638" spans="1:32" x14ac:dyDescent="0.3">
      <c r="A638" t="s">
        <v>1202</v>
      </c>
      <c r="B638" s="1">
        <v>45686</v>
      </c>
      <c r="C638" t="s">
        <v>80</v>
      </c>
      <c r="D638">
        <f t="shared" si="18"/>
        <v>10</v>
      </c>
      <c r="E638" t="s">
        <v>2</v>
      </c>
      <c r="F638" t="s">
        <v>3</v>
      </c>
      <c r="G638" t="s">
        <v>73</v>
      </c>
      <c r="H638" t="s">
        <v>150</v>
      </c>
      <c r="I638" t="s">
        <v>151</v>
      </c>
      <c r="J638" t="s">
        <v>152</v>
      </c>
      <c r="K638" t="s">
        <v>114</v>
      </c>
      <c r="L638" t="s">
        <v>600</v>
      </c>
      <c r="M638" t="s">
        <v>261</v>
      </c>
      <c r="N638" t="s">
        <v>30</v>
      </c>
      <c r="O638">
        <v>19</v>
      </c>
      <c r="P638" t="s">
        <v>76</v>
      </c>
      <c r="Q638" t="s">
        <v>710</v>
      </c>
      <c r="R638" t="s">
        <v>711</v>
      </c>
      <c r="S638" t="s">
        <v>94</v>
      </c>
      <c r="T638" t="s">
        <v>16</v>
      </c>
      <c r="U638">
        <v>2</v>
      </c>
      <c r="V638">
        <v>83</v>
      </c>
      <c r="W638">
        <v>182.6</v>
      </c>
      <c r="X638">
        <v>10</v>
      </c>
      <c r="Y638">
        <v>328.68</v>
      </c>
      <c r="Z638">
        <v>162.68</v>
      </c>
      <c r="AA638" t="s">
        <v>36</v>
      </c>
      <c r="AB638" t="s">
        <v>129</v>
      </c>
      <c r="AD638" t="s">
        <v>19</v>
      </c>
      <c r="AE638" t="s">
        <v>20</v>
      </c>
      <c r="AF638" t="str">
        <f t="shared" si="19"/>
        <v>Yes</v>
      </c>
    </row>
    <row r="639" spans="1:32" x14ac:dyDescent="0.3">
      <c r="A639" t="s">
        <v>1203</v>
      </c>
      <c r="B639" s="1">
        <v>45813</v>
      </c>
      <c r="C639" t="s">
        <v>373</v>
      </c>
      <c r="D639">
        <f t="shared" si="18"/>
        <v>9</v>
      </c>
      <c r="E639" t="s">
        <v>131</v>
      </c>
      <c r="F639" t="s">
        <v>48</v>
      </c>
      <c r="G639" t="s">
        <v>98</v>
      </c>
      <c r="H639" t="s">
        <v>24</v>
      </c>
      <c r="I639" t="s">
        <v>25</v>
      </c>
      <c r="J639" t="s">
        <v>26</v>
      </c>
      <c r="K639" t="s">
        <v>51</v>
      </c>
      <c r="L639" t="s">
        <v>655</v>
      </c>
      <c r="M639" t="s">
        <v>53</v>
      </c>
      <c r="N639" t="s">
        <v>11</v>
      </c>
      <c r="O639">
        <v>46</v>
      </c>
      <c r="P639" t="s">
        <v>12</v>
      </c>
      <c r="Q639" t="s">
        <v>280</v>
      </c>
      <c r="R639" t="s">
        <v>281</v>
      </c>
      <c r="S639" t="s">
        <v>218</v>
      </c>
      <c r="T639" t="s">
        <v>16</v>
      </c>
      <c r="U639">
        <v>2</v>
      </c>
      <c r="V639">
        <v>34</v>
      </c>
      <c r="W639">
        <v>74.8</v>
      </c>
      <c r="X639">
        <v>0</v>
      </c>
      <c r="Y639">
        <v>149.6</v>
      </c>
      <c r="Z639">
        <v>81.599999999999994</v>
      </c>
      <c r="AA639" t="s">
        <v>69</v>
      </c>
      <c r="AB639" t="s">
        <v>87</v>
      </c>
      <c r="AC639">
        <v>4</v>
      </c>
      <c r="AD639" t="s">
        <v>105</v>
      </c>
      <c r="AE639" t="s">
        <v>20</v>
      </c>
      <c r="AF639" t="str">
        <f t="shared" si="19"/>
        <v>Yes</v>
      </c>
    </row>
    <row r="640" spans="1:32" x14ac:dyDescent="0.3">
      <c r="A640" t="s">
        <v>1204</v>
      </c>
      <c r="B640" s="1">
        <v>45692</v>
      </c>
      <c r="C640" t="s">
        <v>191</v>
      </c>
      <c r="D640">
        <f t="shared" si="18"/>
        <v>19</v>
      </c>
      <c r="E640" t="s">
        <v>145</v>
      </c>
      <c r="F640" t="s">
        <v>3</v>
      </c>
      <c r="G640" t="s">
        <v>181</v>
      </c>
      <c r="H640" t="s">
        <v>164</v>
      </c>
      <c r="I640" t="s">
        <v>165</v>
      </c>
      <c r="J640" t="s">
        <v>166</v>
      </c>
      <c r="K640" t="s">
        <v>323</v>
      </c>
      <c r="L640" t="s">
        <v>784</v>
      </c>
      <c r="M640" t="s">
        <v>53</v>
      </c>
      <c r="N640" t="s">
        <v>30</v>
      </c>
      <c r="O640">
        <v>28</v>
      </c>
      <c r="P640" t="s">
        <v>91</v>
      </c>
      <c r="Q640" t="s">
        <v>66</v>
      </c>
      <c r="R640" t="s">
        <v>67</v>
      </c>
      <c r="S640" t="s">
        <v>68</v>
      </c>
      <c r="T640" t="s">
        <v>16</v>
      </c>
      <c r="U640">
        <v>3</v>
      </c>
      <c r="V640">
        <v>43</v>
      </c>
      <c r="W640">
        <v>120.4</v>
      </c>
      <c r="X640">
        <v>15</v>
      </c>
      <c r="Y640">
        <v>307.02</v>
      </c>
      <c r="Z640">
        <v>178.02</v>
      </c>
      <c r="AA640" t="s">
        <v>179</v>
      </c>
      <c r="AB640" t="s">
        <v>87</v>
      </c>
      <c r="AC640">
        <v>3</v>
      </c>
      <c r="AD640" t="s">
        <v>105</v>
      </c>
      <c r="AE640" t="s">
        <v>20</v>
      </c>
      <c r="AF640" t="str">
        <f t="shared" si="19"/>
        <v>Yes</v>
      </c>
    </row>
    <row r="641" spans="1:32" x14ac:dyDescent="0.3">
      <c r="A641" t="s">
        <v>1205</v>
      </c>
      <c r="B641" s="1">
        <v>45756</v>
      </c>
      <c r="C641" t="s">
        <v>80</v>
      </c>
      <c r="D641">
        <f t="shared" si="18"/>
        <v>10</v>
      </c>
      <c r="E641" t="s">
        <v>60</v>
      </c>
      <c r="F641" t="s">
        <v>48</v>
      </c>
      <c r="G641" t="s">
        <v>73</v>
      </c>
      <c r="H641" t="s">
        <v>5</v>
      </c>
      <c r="I641" t="s">
        <v>6</v>
      </c>
      <c r="J641" t="s">
        <v>7</v>
      </c>
      <c r="K641" t="s">
        <v>124</v>
      </c>
      <c r="L641" t="s">
        <v>643</v>
      </c>
      <c r="M641" t="s">
        <v>10</v>
      </c>
      <c r="N641" t="s">
        <v>11</v>
      </c>
      <c r="O641">
        <v>22</v>
      </c>
      <c r="P641" t="s">
        <v>76</v>
      </c>
      <c r="Q641" t="s">
        <v>364</v>
      </c>
      <c r="R641" t="s">
        <v>365</v>
      </c>
      <c r="S641" t="s">
        <v>187</v>
      </c>
      <c r="T641" t="s">
        <v>35</v>
      </c>
      <c r="U641">
        <v>1</v>
      </c>
      <c r="V641">
        <v>28</v>
      </c>
      <c r="W641">
        <v>84</v>
      </c>
      <c r="X641">
        <v>5</v>
      </c>
      <c r="Y641">
        <v>79.8</v>
      </c>
      <c r="Z641">
        <v>51.8</v>
      </c>
      <c r="AA641" t="s">
        <v>179</v>
      </c>
      <c r="AB641" t="s">
        <v>129</v>
      </c>
      <c r="AD641" t="s">
        <v>19</v>
      </c>
      <c r="AE641" t="s">
        <v>20</v>
      </c>
      <c r="AF641" t="str">
        <f t="shared" si="19"/>
        <v>Yes</v>
      </c>
    </row>
    <row r="642" spans="1:32" x14ac:dyDescent="0.3">
      <c r="A642" t="s">
        <v>1206</v>
      </c>
      <c r="B642" s="1">
        <v>45712</v>
      </c>
      <c r="C642" t="s">
        <v>214</v>
      </c>
      <c r="D642">
        <f t="shared" ref="D642:D705" si="20">HOUR(C642)</f>
        <v>7</v>
      </c>
      <c r="E642" t="s">
        <v>145</v>
      </c>
      <c r="F642" t="s">
        <v>3</v>
      </c>
      <c r="G642" t="s">
        <v>23</v>
      </c>
      <c r="H642" t="s">
        <v>150</v>
      </c>
      <c r="I642" t="s">
        <v>151</v>
      </c>
      <c r="J642" t="s">
        <v>152</v>
      </c>
      <c r="K642" t="s">
        <v>138</v>
      </c>
      <c r="L642" t="s">
        <v>505</v>
      </c>
      <c r="M642" t="s">
        <v>53</v>
      </c>
      <c r="N642" t="s">
        <v>30</v>
      </c>
      <c r="O642">
        <v>47</v>
      </c>
      <c r="P642" t="s">
        <v>12</v>
      </c>
      <c r="Q642" t="s">
        <v>710</v>
      </c>
      <c r="R642" t="s">
        <v>711</v>
      </c>
      <c r="S642" t="s">
        <v>94</v>
      </c>
      <c r="T642" t="s">
        <v>16</v>
      </c>
      <c r="U642">
        <v>4</v>
      </c>
      <c r="V642">
        <v>83</v>
      </c>
      <c r="W642">
        <v>182.6</v>
      </c>
      <c r="X642">
        <v>15</v>
      </c>
      <c r="Y642">
        <v>620.84</v>
      </c>
      <c r="Z642">
        <v>288.83999999999997</v>
      </c>
      <c r="AA642" t="s">
        <v>69</v>
      </c>
      <c r="AB642" t="s">
        <v>44</v>
      </c>
      <c r="AC642">
        <v>4</v>
      </c>
      <c r="AD642" t="s">
        <v>105</v>
      </c>
      <c r="AE642" t="s">
        <v>20</v>
      </c>
      <c r="AF642" t="str">
        <f t="shared" si="19"/>
        <v>Yes</v>
      </c>
    </row>
    <row r="643" spans="1:32" x14ac:dyDescent="0.3">
      <c r="A643" t="s">
        <v>1207</v>
      </c>
      <c r="B643" s="1">
        <v>45756</v>
      </c>
      <c r="C643" t="s">
        <v>474</v>
      </c>
      <c r="D643">
        <f t="shared" si="20"/>
        <v>12</v>
      </c>
      <c r="E643" t="s">
        <v>60</v>
      </c>
      <c r="F643" t="s">
        <v>48</v>
      </c>
      <c r="G643" t="s">
        <v>73</v>
      </c>
      <c r="H643" t="s">
        <v>159</v>
      </c>
      <c r="I643" t="s">
        <v>160</v>
      </c>
      <c r="J643" t="s">
        <v>161</v>
      </c>
      <c r="K643" t="s">
        <v>8</v>
      </c>
      <c r="L643" t="s">
        <v>224</v>
      </c>
      <c r="M643" t="s">
        <v>184</v>
      </c>
      <c r="N643" t="s">
        <v>30</v>
      </c>
      <c r="O643">
        <v>50</v>
      </c>
      <c r="P643" t="s">
        <v>12</v>
      </c>
      <c r="Q643" t="s">
        <v>300</v>
      </c>
      <c r="R643" t="s">
        <v>301</v>
      </c>
      <c r="S643" t="s">
        <v>187</v>
      </c>
      <c r="T643" t="s">
        <v>35</v>
      </c>
      <c r="U643">
        <v>2</v>
      </c>
      <c r="V643">
        <v>86</v>
      </c>
      <c r="W643">
        <v>258</v>
      </c>
      <c r="X643">
        <v>5</v>
      </c>
      <c r="Y643">
        <v>490.2</v>
      </c>
      <c r="Z643">
        <v>318.2</v>
      </c>
      <c r="AA643" t="s">
        <v>69</v>
      </c>
      <c r="AB643" t="s">
        <v>44</v>
      </c>
      <c r="AC643">
        <v>4</v>
      </c>
      <c r="AD643" t="s">
        <v>105</v>
      </c>
      <c r="AE643" t="s">
        <v>20</v>
      </c>
      <c r="AF643" t="str">
        <f t="shared" si="19"/>
        <v>Yes</v>
      </c>
    </row>
    <row r="644" spans="1:32" x14ac:dyDescent="0.3">
      <c r="A644" t="s">
        <v>1208</v>
      </c>
      <c r="B644" s="1">
        <v>45825</v>
      </c>
      <c r="C644" t="s">
        <v>435</v>
      </c>
      <c r="D644">
        <f t="shared" si="20"/>
        <v>13</v>
      </c>
      <c r="E644" t="s">
        <v>131</v>
      </c>
      <c r="F644" t="s">
        <v>48</v>
      </c>
      <c r="G644" t="s">
        <v>181</v>
      </c>
      <c r="H644" t="s">
        <v>81</v>
      </c>
      <c r="I644" t="s">
        <v>82</v>
      </c>
      <c r="J644" t="s">
        <v>7</v>
      </c>
      <c r="K644" t="s">
        <v>146</v>
      </c>
      <c r="L644" t="s">
        <v>1142</v>
      </c>
      <c r="M644" t="s">
        <v>261</v>
      </c>
      <c r="N644" t="s">
        <v>11</v>
      </c>
      <c r="O644">
        <v>59</v>
      </c>
      <c r="P644" t="s">
        <v>76</v>
      </c>
      <c r="Q644" t="s">
        <v>409</v>
      </c>
      <c r="R644" t="s">
        <v>410</v>
      </c>
      <c r="S644" t="s">
        <v>237</v>
      </c>
      <c r="T644" t="s">
        <v>16</v>
      </c>
      <c r="U644">
        <v>3</v>
      </c>
      <c r="V644">
        <v>26</v>
      </c>
      <c r="W644">
        <v>78</v>
      </c>
      <c r="X644">
        <v>15</v>
      </c>
      <c r="Y644">
        <v>198.9</v>
      </c>
      <c r="Z644">
        <v>120.9</v>
      </c>
      <c r="AA644" t="s">
        <v>43</v>
      </c>
      <c r="AB644" t="s">
        <v>18</v>
      </c>
      <c r="AC644">
        <v>5</v>
      </c>
      <c r="AD644" t="s">
        <v>105</v>
      </c>
      <c r="AE644" t="s">
        <v>95</v>
      </c>
      <c r="AF644" t="str">
        <f t="shared" ref="AF644:AF707" si="21">IF(AE644="Completed","Yes",IF(AE644="Cancelled","No","Review"))</f>
        <v>No</v>
      </c>
    </row>
    <row r="645" spans="1:32" x14ac:dyDescent="0.3">
      <c r="A645" t="s">
        <v>1209</v>
      </c>
      <c r="B645" s="1">
        <v>45805</v>
      </c>
      <c r="C645" t="s">
        <v>46</v>
      </c>
      <c r="D645">
        <f t="shared" si="20"/>
        <v>19</v>
      </c>
      <c r="E645" t="s">
        <v>47</v>
      </c>
      <c r="F645" t="s">
        <v>48</v>
      </c>
      <c r="G645" t="s">
        <v>73</v>
      </c>
      <c r="H645" t="s">
        <v>159</v>
      </c>
      <c r="I645" t="s">
        <v>160</v>
      </c>
      <c r="J645" t="s">
        <v>161</v>
      </c>
      <c r="K645" t="s">
        <v>270</v>
      </c>
      <c r="L645" t="s">
        <v>361</v>
      </c>
      <c r="M645" t="s">
        <v>53</v>
      </c>
      <c r="N645" t="s">
        <v>30</v>
      </c>
      <c r="O645">
        <v>59</v>
      </c>
      <c r="P645" t="s">
        <v>54</v>
      </c>
      <c r="Q645" t="s">
        <v>85</v>
      </c>
      <c r="R645" t="s">
        <v>86</v>
      </c>
      <c r="S645" t="s">
        <v>34</v>
      </c>
      <c r="T645" t="s">
        <v>16</v>
      </c>
      <c r="U645">
        <v>2</v>
      </c>
      <c r="V645">
        <v>27</v>
      </c>
      <c r="W645">
        <v>81</v>
      </c>
      <c r="X645">
        <v>0</v>
      </c>
      <c r="Y645">
        <v>162</v>
      </c>
      <c r="Z645">
        <v>108</v>
      </c>
      <c r="AA645" t="s">
        <v>69</v>
      </c>
      <c r="AB645" t="s">
        <v>119</v>
      </c>
      <c r="AC645">
        <v>3</v>
      </c>
      <c r="AD645" t="s">
        <v>19</v>
      </c>
      <c r="AE645" t="s">
        <v>20</v>
      </c>
      <c r="AF645" t="str">
        <f t="shared" si="21"/>
        <v>Yes</v>
      </c>
    </row>
    <row r="646" spans="1:32" x14ac:dyDescent="0.3">
      <c r="A646" t="s">
        <v>1210</v>
      </c>
      <c r="B646" s="1">
        <v>45769</v>
      </c>
      <c r="C646" t="s">
        <v>276</v>
      </c>
      <c r="D646">
        <f t="shared" si="20"/>
        <v>13</v>
      </c>
      <c r="E646" t="s">
        <v>60</v>
      </c>
      <c r="F646" t="s">
        <v>48</v>
      </c>
      <c r="G646" t="s">
        <v>181</v>
      </c>
      <c r="H646" t="s">
        <v>24</v>
      </c>
      <c r="I646" t="s">
        <v>25</v>
      </c>
      <c r="J646" t="s">
        <v>26</v>
      </c>
      <c r="K646" t="s">
        <v>107</v>
      </c>
      <c r="L646" t="s">
        <v>1211</v>
      </c>
      <c r="M646" t="s">
        <v>184</v>
      </c>
      <c r="N646" t="s">
        <v>30</v>
      </c>
      <c r="O646">
        <v>39</v>
      </c>
      <c r="P646" t="s">
        <v>91</v>
      </c>
      <c r="Q646" t="s">
        <v>216</v>
      </c>
      <c r="R646" t="s">
        <v>217</v>
      </c>
      <c r="S646" t="s">
        <v>218</v>
      </c>
      <c r="T646" t="s">
        <v>35</v>
      </c>
      <c r="U646">
        <v>1</v>
      </c>
      <c r="V646">
        <v>67</v>
      </c>
      <c r="W646">
        <v>187.6</v>
      </c>
      <c r="X646">
        <v>10</v>
      </c>
      <c r="Y646">
        <v>168.84</v>
      </c>
      <c r="Z646">
        <v>101.84</v>
      </c>
      <c r="AA646" t="s">
        <v>17</v>
      </c>
      <c r="AB646" t="s">
        <v>18</v>
      </c>
      <c r="AC646">
        <v>3</v>
      </c>
      <c r="AD646" t="s">
        <v>19</v>
      </c>
      <c r="AE646" t="s">
        <v>20</v>
      </c>
      <c r="AF646" t="str">
        <f t="shared" si="21"/>
        <v>Yes</v>
      </c>
    </row>
    <row r="647" spans="1:32" x14ac:dyDescent="0.3">
      <c r="A647" t="s">
        <v>1212</v>
      </c>
      <c r="B647" s="1">
        <v>45827</v>
      </c>
      <c r="C647" t="s">
        <v>388</v>
      </c>
      <c r="D647">
        <f t="shared" si="20"/>
        <v>19</v>
      </c>
      <c r="E647" t="s">
        <v>131</v>
      </c>
      <c r="F647" t="s">
        <v>48</v>
      </c>
      <c r="G647" t="s">
        <v>98</v>
      </c>
      <c r="H647" t="s">
        <v>99</v>
      </c>
      <c r="I647" t="s">
        <v>100</v>
      </c>
      <c r="J647" t="s">
        <v>101</v>
      </c>
      <c r="K647" t="s">
        <v>306</v>
      </c>
      <c r="L647" t="s">
        <v>1213</v>
      </c>
      <c r="M647" t="s">
        <v>29</v>
      </c>
      <c r="N647" t="s">
        <v>11</v>
      </c>
      <c r="O647">
        <v>65</v>
      </c>
      <c r="P647" t="s">
        <v>76</v>
      </c>
      <c r="Q647" t="s">
        <v>193</v>
      </c>
      <c r="R647" t="s">
        <v>194</v>
      </c>
      <c r="S647" t="s">
        <v>172</v>
      </c>
      <c r="T647" t="s">
        <v>35</v>
      </c>
      <c r="U647">
        <v>1</v>
      </c>
      <c r="V647">
        <v>35</v>
      </c>
      <c r="W647">
        <v>87.5</v>
      </c>
      <c r="X647">
        <v>10</v>
      </c>
      <c r="Y647">
        <v>78.75</v>
      </c>
      <c r="Z647">
        <v>43.75</v>
      </c>
      <c r="AA647" t="s">
        <v>69</v>
      </c>
      <c r="AB647" t="s">
        <v>119</v>
      </c>
      <c r="AC647">
        <v>4</v>
      </c>
      <c r="AD647" t="s">
        <v>105</v>
      </c>
      <c r="AE647" t="s">
        <v>20</v>
      </c>
      <c r="AF647" t="str">
        <f t="shared" si="21"/>
        <v>Yes</v>
      </c>
    </row>
    <row r="648" spans="1:32" x14ac:dyDescent="0.3">
      <c r="A648" t="s">
        <v>1214</v>
      </c>
      <c r="B648" s="1">
        <v>45821</v>
      </c>
      <c r="C648" t="s">
        <v>158</v>
      </c>
      <c r="D648">
        <f t="shared" si="20"/>
        <v>8</v>
      </c>
      <c r="E648" t="s">
        <v>131</v>
      </c>
      <c r="F648" t="s">
        <v>48</v>
      </c>
      <c r="G648" t="s">
        <v>40</v>
      </c>
      <c r="H648" t="s">
        <v>150</v>
      </c>
      <c r="I648" t="s">
        <v>151</v>
      </c>
      <c r="J648" t="s">
        <v>152</v>
      </c>
      <c r="K648" t="s">
        <v>146</v>
      </c>
      <c r="L648" t="s">
        <v>691</v>
      </c>
      <c r="M648" t="s">
        <v>184</v>
      </c>
      <c r="N648" t="s">
        <v>30</v>
      </c>
      <c r="O648">
        <v>37</v>
      </c>
      <c r="P648" t="s">
        <v>54</v>
      </c>
      <c r="Q648" t="s">
        <v>141</v>
      </c>
      <c r="R648" t="s">
        <v>142</v>
      </c>
      <c r="S648" t="s">
        <v>111</v>
      </c>
      <c r="T648" t="s">
        <v>16</v>
      </c>
      <c r="U648">
        <v>2</v>
      </c>
      <c r="V648">
        <v>35</v>
      </c>
      <c r="W648">
        <v>77</v>
      </c>
      <c r="X648">
        <v>5</v>
      </c>
      <c r="Y648">
        <v>146.30000000000001</v>
      </c>
      <c r="Z648">
        <v>76.3</v>
      </c>
      <c r="AA648" t="s">
        <v>36</v>
      </c>
      <c r="AB648" t="s">
        <v>129</v>
      </c>
      <c r="AD648" t="s">
        <v>105</v>
      </c>
      <c r="AE648" t="s">
        <v>20</v>
      </c>
      <c r="AF648" t="str">
        <f t="shared" si="21"/>
        <v>Yes</v>
      </c>
    </row>
    <row r="649" spans="1:32" x14ac:dyDescent="0.3">
      <c r="A649" t="s">
        <v>1215</v>
      </c>
      <c r="B649" s="1">
        <v>45791</v>
      </c>
      <c r="C649" t="s">
        <v>207</v>
      </c>
      <c r="D649">
        <f t="shared" si="20"/>
        <v>20</v>
      </c>
      <c r="E649" t="s">
        <v>47</v>
      </c>
      <c r="F649" t="s">
        <v>48</v>
      </c>
      <c r="G649" t="s">
        <v>73</v>
      </c>
      <c r="H649" t="s">
        <v>164</v>
      </c>
      <c r="I649" t="s">
        <v>165</v>
      </c>
      <c r="J649" t="s">
        <v>166</v>
      </c>
      <c r="K649" t="s">
        <v>306</v>
      </c>
      <c r="L649" t="s">
        <v>538</v>
      </c>
      <c r="M649" t="s">
        <v>225</v>
      </c>
      <c r="N649" t="s">
        <v>30</v>
      </c>
      <c r="O649">
        <v>18</v>
      </c>
      <c r="P649" t="s">
        <v>76</v>
      </c>
      <c r="Q649" t="s">
        <v>170</v>
      </c>
      <c r="R649" t="s">
        <v>171</v>
      </c>
      <c r="S649" t="s">
        <v>172</v>
      </c>
      <c r="T649" t="s">
        <v>35</v>
      </c>
      <c r="U649">
        <v>2</v>
      </c>
      <c r="V649">
        <v>72</v>
      </c>
      <c r="W649">
        <v>216</v>
      </c>
      <c r="X649">
        <v>0</v>
      </c>
      <c r="Y649">
        <v>432</v>
      </c>
      <c r="Z649">
        <v>288</v>
      </c>
      <c r="AA649" t="s">
        <v>43</v>
      </c>
      <c r="AB649" t="s">
        <v>119</v>
      </c>
      <c r="AD649" t="s">
        <v>19</v>
      </c>
      <c r="AE649" t="s">
        <v>95</v>
      </c>
      <c r="AF649" t="str">
        <f t="shared" si="21"/>
        <v>No</v>
      </c>
    </row>
    <row r="650" spans="1:32" x14ac:dyDescent="0.3">
      <c r="A650" t="s">
        <v>1216</v>
      </c>
      <c r="B650" s="1">
        <v>45763</v>
      </c>
      <c r="C650" t="s">
        <v>191</v>
      </c>
      <c r="D650">
        <f t="shared" si="20"/>
        <v>19</v>
      </c>
      <c r="E650" t="s">
        <v>60</v>
      </c>
      <c r="F650" t="s">
        <v>48</v>
      </c>
      <c r="G650" t="s">
        <v>73</v>
      </c>
      <c r="H650" t="s">
        <v>24</v>
      </c>
      <c r="I650" t="s">
        <v>25</v>
      </c>
      <c r="J650" t="s">
        <v>26</v>
      </c>
      <c r="K650" t="s">
        <v>124</v>
      </c>
      <c r="L650" t="s">
        <v>1213</v>
      </c>
      <c r="M650" t="s">
        <v>225</v>
      </c>
      <c r="N650" t="s">
        <v>30</v>
      </c>
      <c r="O650">
        <v>30</v>
      </c>
      <c r="P650" t="s">
        <v>12</v>
      </c>
      <c r="Q650" t="s">
        <v>710</v>
      </c>
      <c r="R650" t="s">
        <v>711</v>
      </c>
      <c r="S650" t="s">
        <v>94</v>
      </c>
      <c r="T650" t="s">
        <v>16</v>
      </c>
      <c r="U650">
        <v>1</v>
      </c>
      <c r="V650">
        <v>83</v>
      </c>
      <c r="W650">
        <v>182.6</v>
      </c>
      <c r="X650">
        <v>15</v>
      </c>
      <c r="Y650">
        <v>155.21</v>
      </c>
      <c r="Z650">
        <v>72.209999999999994</v>
      </c>
      <c r="AA650" t="s">
        <v>69</v>
      </c>
      <c r="AB650" t="s">
        <v>129</v>
      </c>
      <c r="AD650" t="s">
        <v>105</v>
      </c>
      <c r="AE650" t="s">
        <v>20</v>
      </c>
      <c r="AF650" t="str">
        <f t="shared" si="21"/>
        <v>Yes</v>
      </c>
    </row>
    <row r="651" spans="1:32" x14ac:dyDescent="0.3">
      <c r="A651" t="s">
        <v>1217</v>
      </c>
      <c r="B651" s="1">
        <v>45681</v>
      </c>
      <c r="C651" t="s">
        <v>298</v>
      </c>
      <c r="D651">
        <f t="shared" si="20"/>
        <v>11</v>
      </c>
      <c r="E651" t="s">
        <v>2</v>
      </c>
      <c r="F651" t="s">
        <v>3</v>
      </c>
      <c r="G651" t="s">
        <v>40</v>
      </c>
      <c r="H651" t="s">
        <v>24</v>
      </c>
      <c r="I651" t="s">
        <v>25</v>
      </c>
      <c r="J651" t="s">
        <v>26</v>
      </c>
      <c r="K651" t="s">
        <v>229</v>
      </c>
      <c r="L651" t="s">
        <v>139</v>
      </c>
      <c r="M651" t="s">
        <v>29</v>
      </c>
      <c r="N651" t="s">
        <v>11</v>
      </c>
      <c r="O651">
        <v>39</v>
      </c>
      <c r="P651" t="s">
        <v>31</v>
      </c>
      <c r="Q651" t="s">
        <v>710</v>
      </c>
      <c r="R651" t="s">
        <v>711</v>
      </c>
      <c r="S651" t="s">
        <v>94</v>
      </c>
      <c r="T651" t="s">
        <v>16</v>
      </c>
      <c r="U651">
        <v>1</v>
      </c>
      <c r="V651">
        <v>83</v>
      </c>
      <c r="W651">
        <v>182.6</v>
      </c>
      <c r="X651">
        <v>0</v>
      </c>
      <c r="Y651">
        <v>182.6</v>
      </c>
      <c r="Z651">
        <v>99.6</v>
      </c>
      <c r="AA651" t="s">
        <v>17</v>
      </c>
      <c r="AB651" t="s">
        <v>119</v>
      </c>
      <c r="AC651">
        <v>4</v>
      </c>
      <c r="AD651" t="s">
        <v>105</v>
      </c>
      <c r="AE651" t="s">
        <v>20</v>
      </c>
      <c r="AF651" t="str">
        <f t="shared" si="21"/>
        <v>Yes</v>
      </c>
    </row>
    <row r="652" spans="1:32" x14ac:dyDescent="0.3">
      <c r="A652" t="s">
        <v>1218</v>
      </c>
      <c r="B652" s="1">
        <v>45728</v>
      </c>
      <c r="C652" t="s">
        <v>537</v>
      </c>
      <c r="D652">
        <f t="shared" si="20"/>
        <v>8</v>
      </c>
      <c r="E652" t="s">
        <v>72</v>
      </c>
      <c r="F652" t="s">
        <v>3</v>
      </c>
      <c r="G652" t="s">
        <v>73</v>
      </c>
      <c r="H652" t="s">
        <v>5</v>
      </c>
      <c r="I652" t="s">
        <v>6</v>
      </c>
      <c r="J652" t="s">
        <v>7</v>
      </c>
      <c r="K652" t="s">
        <v>306</v>
      </c>
      <c r="L652" t="s">
        <v>883</v>
      </c>
      <c r="M652" t="s">
        <v>225</v>
      </c>
      <c r="N652" t="s">
        <v>30</v>
      </c>
      <c r="O652">
        <v>44</v>
      </c>
      <c r="P652" t="s">
        <v>54</v>
      </c>
      <c r="Q652" t="s">
        <v>155</v>
      </c>
      <c r="R652" t="s">
        <v>156</v>
      </c>
      <c r="S652" t="s">
        <v>34</v>
      </c>
      <c r="T652" t="s">
        <v>16</v>
      </c>
      <c r="U652">
        <v>4</v>
      </c>
      <c r="V652">
        <v>40</v>
      </c>
      <c r="W652">
        <v>100</v>
      </c>
      <c r="X652">
        <v>5</v>
      </c>
      <c r="Y652">
        <v>380</v>
      </c>
      <c r="Z652">
        <v>220</v>
      </c>
      <c r="AA652" t="s">
        <v>17</v>
      </c>
      <c r="AB652" t="s">
        <v>37</v>
      </c>
      <c r="AD652" t="s">
        <v>19</v>
      </c>
      <c r="AE652" t="s">
        <v>95</v>
      </c>
      <c r="AF652" t="str">
        <f t="shared" si="21"/>
        <v>No</v>
      </c>
    </row>
    <row r="653" spans="1:32" x14ac:dyDescent="0.3">
      <c r="A653" t="s">
        <v>1219</v>
      </c>
      <c r="B653" s="1">
        <v>45807</v>
      </c>
      <c r="C653" t="s">
        <v>337</v>
      </c>
      <c r="D653">
        <f t="shared" si="20"/>
        <v>17</v>
      </c>
      <c r="E653" t="s">
        <v>47</v>
      </c>
      <c r="F653" t="s">
        <v>48</v>
      </c>
      <c r="G653" t="s">
        <v>40</v>
      </c>
      <c r="H653" t="s">
        <v>81</v>
      </c>
      <c r="I653" t="s">
        <v>82</v>
      </c>
      <c r="J653" t="s">
        <v>7</v>
      </c>
      <c r="K653" t="s">
        <v>229</v>
      </c>
      <c r="L653" t="s">
        <v>380</v>
      </c>
      <c r="M653" t="s">
        <v>65</v>
      </c>
      <c r="N653" t="s">
        <v>30</v>
      </c>
      <c r="O653">
        <v>55</v>
      </c>
      <c r="P653" t="s">
        <v>31</v>
      </c>
      <c r="Q653" t="s">
        <v>134</v>
      </c>
      <c r="R653" t="s">
        <v>135</v>
      </c>
      <c r="S653" t="s">
        <v>136</v>
      </c>
      <c r="T653" t="s">
        <v>35</v>
      </c>
      <c r="U653">
        <v>4</v>
      </c>
      <c r="V653">
        <v>20</v>
      </c>
      <c r="W653">
        <v>60</v>
      </c>
      <c r="X653">
        <v>5</v>
      </c>
      <c r="Y653">
        <v>228</v>
      </c>
      <c r="Z653">
        <v>148</v>
      </c>
      <c r="AA653" t="s">
        <v>69</v>
      </c>
      <c r="AB653" t="s">
        <v>37</v>
      </c>
      <c r="AC653">
        <v>3</v>
      </c>
      <c r="AD653" t="s">
        <v>105</v>
      </c>
      <c r="AE653" t="s">
        <v>95</v>
      </c>
      <c r="AF653" t="str">
        <f t="shared" si="21"/>
        <v>No</v>
      </c>
    </row>
    <row r="654" spans="1:32" x14ac:dyDescent="0.3">
      <c r="A654" t="s">
        <v>1220</v>
      </c>
      <c r="B654" s="1">
        <v>45667</v>
      </c>
      <c r="C654" t="s">
        <v>546</v>
      </c>
      <c r="D654">
        <f t="shared" si="20"/>
        <v>21</v>
      </c>
      <c r="E654" t="s">
        <v>2</v>
      </c>
      <c r="F654" t="s">
        <v>3</v>
      </c>
      <c r="G654" t="s">
        <v>40</v>
      </c>
      <c r="H654" t="s">
        <v>81</v>
      </c>
      <c r="I654" t="s">
        <v>82</v>
      </c>
      <c r="J654" t="s">
        <v>7</v>
      </c>
      <c r="K654" t="s">
        <v>41</v>
      </c>
      <c r="L654" t="s">
        <v>1221</v>
      </c>
      <c r="M654" t="s">
        <v>184</v>
      </c>
      <c r="N654" t="s">
        <v>30</v>
      </c>
      <c r="O654">
        <v>64</v>
      </c>
      <c r="P654" t="s">
        <v>91</v>
      </c>
      <c r="Q654" t="s">
        <v>170</v>
      </c>
      <c r="R654" t="s">
        <v>171</v>
      </c>
      <c r="S654" t="s">
        <v>172</v>
      </c>
      <c r="T654" t="s">
        <v>35</v>
      </c>
      <c r="U654">
        <v>3</v>
      </c>
      <c r="V654">
        <v>72</v>
      </c>
      <c r="W654">
        <v>216</v>
      </c>
      <c r="X654">
        <v>5</v>
      </c>
      <c r="Y654">
        <v>615.6</v>
      </c>
      <c r="Z654">
        <v>399.6</v>
      </c>
      <c r="AA654" t="s">
        <v>36</v>
      </c>
      <c r="AB654" t="s">
        <v>119</v>
      </c>
      <c r="AC654">
        <v>5</v>
      </c>
      <c r="AD654" t="s">
        <v>19</v>
      </c>
      <c r="AE654" t="s">
        <v>95</v>
      </c>
      <c r="AF654" t="str">
        <f t="shared" si="21"/>
        <v>No</v>
      </c>
    </row>
    <row r="655" spans="1:32" x14ac:dyDescent="0.3">
      <c r="A655" t="s">
        <v>1222</v>
      </c>
      <c r="B655" s="1">
        <v>45662</v>
      </c>
      <c r="C655" t="s">
        <v>283</v>
      </c>
      <c r="D655">
        <f t="shared" si="20"/>
        <v>14</v>
      </c>
      <c r="E655" t="s">
        <v>2</v>
      </c>
      <c r="F655" t="s">
        <v>3</v>
      </c>
      <c r="G655" t="s">
        <v>4</v>
      </c>
      <c r="H655" t="s">
        <v>49</v>
      </c>
      <c r="I655" t="s">
        <v>50</v>
      </c>
      <c r="J655" t="s">
        <v>7</v>
      </c>
      <c r="K655" t="s">
        <v>63</v>
      </c>
      <c r="L655" t="s">
        <v>481</v>
      </c>
      <c r="M655" t="s">
        <v>29</v>
      </c>
      <c r="N655" t="s">
        <v>11</v>
      </c>
      <c r="O655">
        <v>63</v>
      </c>
      <c r="P655" t="s">
        <v>12</v>
      </c>
      <c r="Q655" t="s">
        <v>436</v>
      </c>
      <c r="R655" t="s">
        <v>437</v>
      </c>
      <c r="S655" t="s">
        <v>178</v>
      </c>
      <c r="T655" t="s">
        <v>35</v>
      </c>
      <c r="U655">
        <v>1</v>
      </c>
      <c r="V655">
        <v>66</v>
      </c>
      <c r="W655">
        <v>165</v>
      </c>
      <c r="X655">
        <v>10</v>
      </c>
      <c r="Y655">
        <v>148.5</v>
      </c>
      <c r="Z655">
        <v>82.5</v>
      </c>
      <c r="AA655" t="s">
        <v>36</v>
      </c>
      <c r="AB655" t="s">
        <v>119</v>
      </c>
      <c r="AC655">
        <v>5</v>
      </c>
      <c r="AD655" t="s">
        <v>19</v>
      </c>
      <c r="AE655" t="s">
        <v>95</v>
      </c>
      <c r="AF655" t="str">
        <f t="shared" si="21"/>
        <v>No</v>
      </c>
    </row>
    <row r="656" spans="1:32" x14ac:dyDescent="0.3">
      <c r="A656" t="s">
        <v>1223</v>
      </c>
      <c r="B656" s="1">
        <v>45658</v>
      </c>
      <c r="C656" t="s">
        <v>322</v>
      </c>
      <c r="D656">
        <f t="shared" si="20"/>
        <v>10</v>
      </c>
      <c r="E656" t="s">
        <v>2</v>
      </c>
      <c r="F656" t="s">
        <v>3</v>
      </c>
      <c r="G656" t="s">
        <v>73</v>
      </c>
      <c r="H656" t="s">
        <v>164</v>
      </c>
      <c r="I656" t="s">
        <v>165</v>
      </c>
      <c r="J656" t="s">
        <v>166</v>
      </c>
      <c r="K656" t="s">
        <v>153</v>
      </c>
      <c r="L656" t="s">
        <v>341</v>
      </c>
      <c r="M656" t="s">
        <v>184</v>
      </c>
      <c r="N656" t="s">
        <v>11</v>
      </c>
      <c r="O656">
        <v>60</v>
      </c>
      <c r="P656" t="s">
        <v>31</v>
      </c>
      <c r="Q656" t="s">
        <v>13</v>
      </c>
      <c r="R656" t="s">
        <v>14</v>
      </c>
      <c r="S656" t="s">
        <v>15</v>
      </c>
      <c r="T656" t="s">
        <v>16</v>
      </c>
      <c r="U656">
        <v>3</v>
      </c>
      <c r="V656">
        <v>43</v>
      </c>
      <c r="W656">
        <v>129</v>
      </c>
      <c r="X656">
        <v>5</v>
      </c>
      <c r="Y656">
        <v>367.65</v>
      </c>
      <c r="Z656">
        <v>238.65</v>
      </c>
      <c r="AA656" t="s">
        <v>17</v>
      </c>
      <c r="AB656" t="s">
        <v>119</v>
      </c>
      <c r="AD656" t="s">
        <v>105</v>
      </c>
      <c r="AE656" t="s">
        <v>20</v>
      </c>
      <c r="AF656" t="str">
        <f t="shared" si="21"/>
        <v>Yes</v>
      </c>
    </row>
    <row r="657" spans="1:32" x14ac:dyDescent="0.3">
      <c r="A657" t="s">
        <v>1224</v>
      </c>
      <c r="B657" s="1">
        <v>45732</v>
      </c>
      <c r="C657" t="s">
        <v>199</v>
      </c>
      <c r="D657">
        <f t="shared" si="20"/>
        <v>10</v>
      </c>
      <c r="E657" t="s">
        <v>72</v>
      </c>
      <c r="F657" t="s">
        <v>3</v>
      </c>
      <c r="G657" t="s">
        <v>4</v>
      </c>
      <c r="H657" t="s">
        <v>159</v>
      </c>
      <c r="I657" t="s">
        <v>160</v>
      </c>
      <c r="J657" t="s">
        <v>161</v>
      </c>
      <c r="K657" t="s">
        <v>83</v>
      </c>
      <c r="L657" t="s">
        <v>779</v>
      </c>
      <c r="M657" t="s">
        <v>261</v>
      </c>
      <c r="N657" t="s">
        <v>30</v>
      </c>
      <c r="O657">
        <v>44</v>
      </c>
      <c r="P657" t="s">
        <v>12</v>
      </c>
      <c r="Q657" t="s">
        <v>267</v>
      </c>
      <c r="R657" t="s">
        <v>268</v>
      </c>
      <c r="S657" t="s">
        <v>15</v>
      </c>
      <c r="T657" t="s">
        <v>35</v>
      </c>
      <c r="U657">
        <v>2</v>
      </c>
      <c r="V657">
        <v>87</v>
      </c>
      <c r="W657">
        <v>261</v>
      </c>
      <c r="X657">
        <v>5</v>
      </c>
      <c r="Y657">
        <v>495.9</v>
      </c>
      <c r="Z657">
        <v>321.89999999999998</v>
      </c>
      <c r="AA657" t="s">
        <v>36</v>
      </c>
      <c r="AB657" t="s">
        <v>37</v>
      </c>
      <c r="AC657">
        <v>3</v>
      </c>
      <c r="AD657" t="s">
        <v>19</v>
      </c>
      <c r="AE657" t="s">
        <v>20</v>
      </c>
      <c r="AF657" t="str">
        <f t="shared" si="21"/>
        <v>Yes</v>
      </c>
    </row>
    <row r="658" spans="1:32" x14ac:dyDescent="0.3">
      <c r="A658" t="s">
        <v>1225</v>
      </c>
      <c r="B658" s="1">
        <v>45685</v>
      </c>
      <c r="C658" t="s">
        <v>758</v>
      </c>
      <c r="D658">
        <f t="shared" si="20"/>
        <v>12</v>
      </c>
      <c r="E658" t="s">
        <v>2</v>
      </c>
      <c r="F658" t="s">
        <v>3</v>
      </c>
      <c r="G658" t="s">
        <v>181</v>
      </c>
      <c r="H658" t="s">
        <v>5</v>
      </c>
      <c r="I658" t="s">
        <v>6</v>
      </c>
      <c r="J658" t="s">
        <v>7</v>
      </c>
      <c r="K658" t="s">
        <v>245</v>
      </c>
      <c r="L658" t="s">
        <v>1034</v>
      </c>
      <c r="M658" t="s">
        <v>65</v>
      </c>
      <c r="N658" t="s">
        <v>11</v>
      </c>
      <c r="O658">
        <v>22</v>
      </c>
      <c r="P658" t="s">
        <v>91</v>
      </c>
      <c r="Q658" t="s">
        <v>77</v>
      </c>
      <c r="R658" t="s">
        <v>78</v>
      </c>
      <c r="S658" t="s">
        <v>68</v>
      </c>
      <c r="T658" t="s">
        <v>16</v>
      </c>
      <c r="U658">
        <v>4</v>
      </c>
      <c r="V658">
        <v>35</v>
      </c>
      <c r="W658">
        <v>105</v>
      </c>
      <c r="X658">
        <v>5</v>
      </c>
      <c r="Y658">
        <v>399</v>
      </c>
      <c r="Z658">
        <v>259</v>
      </c>
      <c r="AA658" t="s">
        <v>17</v>
      </c>
      <c r="AB658" t="s">
        <v>37</v>
      </c>
      <c r="AC658">
        <v>4</v>
      </c>
      <c r="AD658" t="s">
        <v>19</v>
      </c>
      <c r="AE658" t="s">
        <v>95</v>
      </c>
      <c r="AF658" t="str">
        <f t="shared" si="21"/>
        <v>No</v>
      </c>
    </row>
    <row r="659" spans="1:32" x14ac:dyDescent="0.3">
      <c r="A659" t="s">
        <v>1226</v>
      </c>
      <c r="B659" s="1">
        <v>45763</v>
      </c>
      <c r="C659" t="s">
        <v>537</v>
      </c>
      <c r="D659">
        <f t="shared" si="20"/>
        <v>8</v>
      </c>
      <c r="E659" t="s">
        <v>60</v>
      </c>
      <c r="F659" t="s">
        <v>48</v>
      </c>
      <c r="G659" t="s">
        <v>73</v>
      </c>
      <c r="H659" t="s">
        <v>164</v>
      </c>
      <c r="I659" t="s">
        <v>165</v>
      </c>
      <c r="J659" t="s">
        <v>166</v>
      </c>
      <c r="K659" t="s">
        <v>196</v>
      </c>
      <c r="L659" t="s">
        <v>1041</v>
      </c>
      <c r="M659" t="s">
        <v>29</v>
      </c>
      <c r="N659" t="s">
        <v>11</v>
      </c>
      <c r="O659">
        <v>52</v>
      </c>
      <c r="P659" t="s">
        <v>76</v>
      </c>
      <c r="Q659" t="s">
        <v>85</v>
      </c>
      <c r="R659" t="s">
        <v>86</v>
      </c>
      <c r="S659" t="s">
        <v>34</v>
      </c>
      <c r="T659" t="s">
        <v>16</v>
      </c>
      <c r="U659">
        <v>3</v>
      </c>
      <c r="V659">
        <v>27</v>
      </c>
      <c r="W659">
        <v>81</v>
      </c>
      <c r="X659">
        <v>0</v>
      </c>
      <c r="Y659">
        <v>243</v>
      </c>
      <c r="Z659">
        <v>162</v>
      </c>
      <c r="AA659" t="s">
        <v>69</v>
      </c>
      <c r="AB659" t="s">
        <v>44</v>
      </c>
      <c r="AC659">
        <v>3</v>
      </c>
      <c r="AD659" t="s">
        <v>19</v>
      </c>
      <c r="AE659" t="s">
        <v>20</v>
      </c>
      <c r="AF659" t="str">
        <f t="shared" si="21"/>
        <v>Yes</v>
      </c>
    </row>
    <row r="660" spans="1:32" x14ac:dyDescent="0.3">
      <c r="A660" t="s">
        <v>1227</v>
      </c>
      <c r="B660" s="1">
        <v>45781</v>
      </c>
      <c r="C660" t="s">
        <v>351</v>
      </c>
      <c r="D660">
        <f t="shared" si="20"/>
        <v>9</v>
      </c>
      <c r="E660" t="s">
        <v>47</v>
      </c>
      <c r="F660" t="s">
        <v>48</v>
      </c>
      <c r="G660" t="s">
        <v>4</v>
      </c>
      <c r="H660" t="s">
        <v>159</v>
      </c>
      <c r="I660" t="s">
        <v>160</v>
      </c>
      <c r="J660" t="s">
        <v>161</v>
      </c>
      <c r="K660" t="s">
        <v>318</v>
      </c>
      <c r="L660" t="s">
        <v>544</v>
      </c>
      <c r="M660" t="s">
        <v>184</v>
      </c>
      <c r="N660" t="s">
        <v>30</v>
      </c>
      <c r="O660">
        <v>42</v>
      </c>
      <c r="P660" t="s">
        <v>91</v>
      </c>
      <c r="Q660" t="s">
        <v>506</v>
      </c>
      <c r="R660" t="s">
        <v>507</v>
      </c>
      <c r="S660" t="s">
        <v>118</v>
      </c>
      <c r="T660" t="s">
        <v>16</v>
      </c>
      <c r="U660">
        <v>1</v>
      </c>
      <c r="V660">
        <v>39</v>
      </c>
      <c r="W660">
        <v>109.2</v>
      </c>
      <c r="X660">
        <v>5</v>
      </c>
      <c r="Y660">
        <v>103.74</v>
      </c>
      <c r="Z660">
        <v>64.739999999999995</v>
      </c>
      <c r="AA660" t="s">
        <v>69</v>
      </c>
      <c r="AB660" t="s">
        <v>44</v>
      </c>
      <c r="AC660">
        <v>5</v>
      </c>
      <c r="AD660" t="s">
        <v>105</v>
      </c>
      <c r="AE660" t="s">
        <v>20</v>
      </c>
      <c r="AF660" t="str">
        <f t="shared" si="21"/>
        <v>Yes</v>
      </c>
    </row>
    <row r="661" spans="1:32" x14ac:dyDescent="0.3">
      <c r="A661" t="s">
        <v>1228</v>
      </c>
      <c r="B661" s="1">
        <v>45726</v>
      </c>
      <c r="C661" t="s">
        <v>158</v>
      </c>
      <c r="D661">
        <f t="shared" si="20"/>
        <v>8</v>
      </c>
      <c r="E661" t="s">
        <v>72</v>
      </c>
      <c r="F661" t="s">
        <v>3</v>
      </c>
      <c r="G661" t="s">
        <v>23</v>
      </c>
      <c r="H661" t="s">
        <v>122</v>
      </c>
      <c r="I661" t="s">
        <v>123</v>
      </c>
      <c r="J661" t="s">
        <v>7</v>
      </c>
      <c r="K661" t="s">
        <v>323</v>
      </c>
      <c r="L661" t="s">
        <v>266</v>
      </c>
      <c r="M661" t="s">
        <v>65</v>
      </c>
      <c r="N661" t="s">
        <v>11</v>
      </c>
      <c r="O661">
        <v>29</v>
      </c>
      <c r="P661" t="s">
        <v>76</v>
      </c>
      <c r="Q661" t="s">
        <v>291</v>
      </c>
      <c r="R661" t="s">
        <v>292</v>
      </c>
      <c r="S661" t="s">
        <v>242</v>
      </c>
      <c r="T661" t="s">
        <v>16</v>
      </c>
      <c r="U661">
        <v>1</v>
      </c>
      <c r="V661">
        <v>68</v>
      </c>
      <c r="W661">
        <v>204</v>
      </c>
      <c r="X661">
        <v>10</v>
      </c>
      <c r="Y661">
        <v>183.6</v>
      </c>
      <c r="Z661">
        <v>115.6</v>
      </c>
      <c r="AA661" t="s">
        <v>36</v>
      </c>
      <c r="AB661" t="s">
        <v>129</v>
      </c>
      <c r="AC661">
        <v>4</v>
      </c>
      <c r="AD661" t="s">
        <v>105</v>
      </c>
      <c r="AE661" t="s">
        <v>95</v>
      </c>
      <c r="AF661" t="str">
        <f t="shared" si="21"/>
        <v>No</v>
      </c>
    </row>
    <row r="662" spans="1:32" x14ac:dyDescent="0.3">
      <c r="A662" t="s">
        <v>1229</v>
      </c>
      <c r="B662" s="1">
        <v>45710</v>
      </c>
      <c r="C662" t="s">
        <v>546</v>
      </c>
      <c r="D662">
        <f t="shared" si="20"/>
        <v>21</v>
      </c>
      <c r="E662" t="s">
        <v>145</v>
      </c>
      <c r="F662" t="s">
        <v>3</v>
      </c>
      <c r="G662" t="s">
        <v>132</v>
      </c>
      <c r="H662" t="s">
        <v>61</v>
      </c>
      <c r="I662" t="s">
        <v>62</v>
      </c>
      <c r="J662" t="s">
        <v>7</v>
      </c>
      <c r="K662" t="s">
        <v>146</v>
      </c>
      <c r="L662" t="s">
        <v>408</v>
      </c>
      <c r="M662" t="s">
        <v>184</v>
      </c>
      <c r="N662" t="s">
        <v>30</v>
      </c>
      <c r="O662">
        <v>65</v>
      </c>
      <c r="P662" t="s">
        <v>76</v>
      </c>
      <c r="Q662" t="s">
        <v>256</v>
      </c>
      <c r="R662" t="s">
        <v>257</v>
      </c>
      <c r="S662" t="s">
        <v>118</v>
      </c>
      <c r="T662" t="s">
        <v>35</v>
      </c>
      <c r="U662">
        <v>2</v>
      </c>
      <c r="V662">
        <v>30</v>
      </c>
      <c r="W662">
        <v>90</v>
      </c>
      <c r="X662">
        <v>5</v>
      </c>
      <c r="Y662">
        <v>171</v>
      </c>
      <c r="Z662">
        <v>111</v>
      </c>
      <c r="AA662" t="s">
        <v>36</v>
      </c>
      <c r="AB662" t="s">
        <v>87</v>
      </c>
      <c r="AC662">
        <v>4</v>
      </c>
      <c r="AD662" t="s">
        <v>105</v>
      </c>
      <c r="AE662" t="s">
        <v>20</v>
      </c>
      <c r="AF662" t="str">
        <f t="shared" si="21"/>
        <v>Yes</v>
      </c>
    </row>
    <row r="663" spans="1:32" x14ac:dyDescent="0.3">
      <c r="A663" t="s">
        <v>1230</v>
      </c>
      <c r="B663" s="1">
        <v>45826</v>
      </c>
      <c r="C663" t="s">
        <v>349</v>
      </c>
      <c r="D663">
        <f t="shared" si="20"/>
        <v>21</v>
      </c>
      <c r="E663" t="s">
        <v>131</v>
      </c>
      <c r="F663" t="s">
        <v>48</v>
      </c>
      <c r="G663" t="s">
        <v>73</v>
      </c>
      <c r="H663" t="s">
        <v>164</v>
      </c>
      <c r="I663" t="s">
        <v>165</v>
      </c>
      <c r="J663" t="s">
        <v>166</v>
      </c>
      <c r="K663" t="s">
        <v>318</v>
      </c>
      <c r="L663" t="s">
        <v>634</v>
      </c>
      <c r="M663" t="s">
        <v>140</v>
      </c>
      <c r="N663" t="s">
        <v>11</v>
      </c>
      <c r="O663">
        <v>34</v>
      </c>
      <c r="P663" t="s">
        <v>12</v>
      </c>
      <c r="Q663" t="s">
        <v>370</v>
      </c>
      <c r="R663" t="s">
        <v>371</v>
      </c>
      <c r="S663" t="s">
        <v>111</v>
      </c>
      <c r="T663" t="s">
        <v>35</v>
      </c>
      <c r="U663">
        <v>2</v>
      </c>
      <c r="V663">
        <v>99</v>
      </c>
      <c r="W663">
        <v>247.5</v>
      </c>
      <c r="X663">
        <v>15</v>
      </c>
      <c r="Y663">
        <v>420.75</v>
      </c>
      <c r="Z663">
        <v>222.75</v>
      </c>
      <c r="AA663" t="s">
        <v>17</v>
      </c>
      <c r="AB663" t="s">
        <v>44</v>
      </c>
      <c r="AC663">
        <v>4</v>
      </c>
      <c r="AD663" t="s">
        <v>105</v>
      </c>
      <c r="AE663" t="s">
        <v>20</v>
      </c>
      <c r="AF663" t="str">
        <f t="shared" si="21"/>
        <v>Yes</v>
      </c>
    </row>
    <row r="664" spans="1:32" x14ac:dyDescent="0.3">
      <c r="A664" t="s">
        <v>1231</v>
      </c>
      <c r="B664" s="1">
        <v>45710</v>
      </c>
      <c r="C664" t="s">
        <v>39</v>
      </c>
      <c r="D664">
        <f t="shared" si="20"/>
        <v>18</v>
      </c>
      <c r="E664" t="s">
        <v>145</v>
      </c>
      <c r="F664" t="s">
        <v>3</v>
      </c>
      <c r="G664" t="s">
        <v>132</v>
      </c>
      <c r="H664" t="s">
        <v>159</v>
      </c>
      <c r="I664" t="s">
        <v>160</v>
      </c>
      <c r="J664" t="s">
        <v>161</v>
      </c>
      <c r="K664" t="s">
        <v>138</v>
      </c>
      <c r="L664" t="s">
        <v>361</v>
      </c>
      <c r="M664" t="s">
        <v>10</v>
      </c>
      <c r="N664" t="s">
        <v>11</v>
      </c>
      <c r="O664">
        <v>26</v>
      </c>
      <c r="P664" t="s">
        <v>31</v>
      </c>
      <c r="Q664" t="s">
        <v>141</v>
      </c>
      <c r="R664" t="s">
        <v>142</v>
      </c>
      <c r="S664" t="s">
        <v>111</v>
      </c>
      <c r="T664" t="s">
        <v>16</v>
      </c>
      <c r="U664">
        <v>1</v>
      </c>
      <c r="V664">
        <v>35</v>
      </c>
      <c r="W664">
        <v>77</v>
      </c>
      <c r="X664">
        <v>5</v>
      </c>
      <c r="Y664">
        <v>73.150000000000006</v>
      </c>
      <c r="Z664">
        <v>38.15</v>
      </c>
      <c r="AA664" t="s">
        <v>69</v>
      </c>
      <c r="AB664" t="s">
        <v>37</v>
      </c>
      <c r="AC664">
        <v>5</v>
      </c>
      <c r="AD664" t="s">
        <v>105</v>
      </c>
      <c r="AE664" t="s">
        <v>20</v>
      </c>
      <c r="AF664" t="str">
        <f t="shared" si="21"/>
        <v>Yes</v>
      </c>
    </row>
    <row r="665" spans="1:32" x14ac:dyDescent="0.3">
      <c r="A665" t="s">
        <v>1232</v>
      </c>
      <c r="B665" s="1">
        <v>45783</v>
      </c>
      <c r="C665" t="s">
        <v>97</v>
      </c>
      <c r="D665">
        <f t="shared" si="20"/>
        <v>7</v>
      </c>
      <c r="E665" t="s">
        <v>47</v>
      </c>
      <c r="F665" t="s">
        <v>48</v>
      </c>
      <c r="G665" t="s">
        <v>181</v>
      </c>
      <c r="H665" t="s">
        <v>159</v>
      </c>
      <c r="I665" t="s">
        <v>160</v>
      </c>
      <c r="J665" t="s">
        <v>161</v>
      </c>
      <c r="K665" t="s">
        <v>138</v>
      </c>
      <c r="L665" t="s">
        <v>727</v>
      </c>
      <c r="M665" t="s">
        <v>29</v>
      </c>
      <c r="N665" t="s">
        <v>30</v>
      </c>
      <c r="O665">
        <v>26</v>
      </c>
      <c r="P665" t="s">
        <v>31</v>
      </c>
      <c r="Q665" t="s">
        <v>109</v>
      </c>
      <c r="R665" t="s">
        <v>110</v>
      </c>
      <c r="S665" t="s">
        <v>111</v>
      </c>
      <c r="T665" t="s">
        <v>16</v>
      </c>
      <c r="U665">
        <v>1</v>
      </c>
      <c r="V665">
        <v>83</v>
      </c>
      <c r="W665">
        <v>182.6</v>
      </c>
      <c r="X665">
        <v>15</v>
      </c>
      <c r="Y665">
        <v>155.21</v>
      </c>
      <c r="Z665">
        <v>72.209999999999994</v>
      </c>
      <c r="AA665" t="s">
        <v>36</v>
      </c>
      <c r="AB665" t="s">
        <v>37</v>
      </c>
      <c r="AC665">
        <v>3</v>
      </c>
      <c r="AD665" t="s">
        <v>105</v>
      </c>
      <c r="AE665" t="s">
        <v>20</v>
      </c>
      <c r="AF665" t="str">
        <f t="shared" si="21"/>
        <v>Yes</v>
      </c>
    </row>
    <row r="666" spans="1:32" x14ac:dyDescent="0.3">
      <c r="A666" t="s">
        <v>1233</v>
      </c>
      <c r="B666" s="1">
        <v>45809</v>
      </c>
      <c r="C666" t="s">
        <v>396</v>
      </c>
      <c r="D666">
        <f t="shared" si="20"/>
        <v>16</v>
      </c>
      <c r="E666" t="s">
        <v>131</v>
      </c>
      <c r="F666" t="s">
        <v>48</v>
      </c>
      <c r="G666" t="s">
        <v>4</v>
      </c>
      <c r="H666" t="s">
        <v>49</v>
      </c>
      <c r="I666" t="s">
        <v>50</v>
      </c>
      <c r="J666" t="s">
        <v>7</v>
      </c>
      <c r="K666" t="s">
        <v>270</v>
      </c>
      <c r="L666" t="s">
        <v>589</v>
      </c>
      <c r="M666" t="s">
        <v>225</v>
      </c>
      <c r="N666" t="s">
        <v>11</v>
      </c>
      <c r="O666">
        <v>20</v>
      </c>
      <c r="P666" t="s">
        <v>12</v>
      </c>
      <c r="Q666" t="s">
        <v>235</v>
      </c>
      <c r="R666" t="s">
        <v>236</v>
      </c>
      <c r="S666" t="s">
        <v>237</v>
      </c>
      <c r="T666" t="s">
        <v>35</v>
      </c>
      <c r="U666">
        <v>1</v>
      </c>
      <c r="V666">
        <v>22</v>
      </c>
      <c r="W666">
        <v>61.6</v>
      </c>
      <c r="X666">
        <v>10</v>
      </c>
      <c r="Y666">
        <v>55.44</v>
      </c>
      <c r="Z666">
        <v>33.44</v>
      </c>
      <c r="AA666" t="s">
        <v>36</v>
      </c>
      <c r="AB666" t="s">
        <v>18</v>
      </c>
      <c r="AD666" t="s">
        <v>19</v>
      </c>
      <c r="AE666" t="s">
        <v>95</v>
      </c>
      <c r="AF666" t="str">
        <f t="shared" si="21"/>
        <v>No</v>
      </c>
    </row>
    <row r="667" spans="1:32" x14ac:dyDescent="0.3">
      <c r="A667" t="s">
        <v>1234</v>
      </c>
      <c r="B667" s="1">
        <v>45726</v>
      </c>
      <c r="C667" t="s">
        <v>46</v>
      </c>
      <c r="D667">
        <f t="shared" si="20"/>
        <v>19</v>
      </c>
      <c r="E667" t="s">
        <v>72</v>
      </c>
      <c r="F667" t="s">
        <v>3</v>
      </c>
      <c r="G667" t="s">
        <v>23</v>
      </c>
      <c r="H667" t="s">
        <v>159</v>
      </c>
      <c r="I667" t="s">
        <v>160</v>
      </c>
      <c r="J667" t="s">
        <v>161</v>
      </c>
      <c r="K667" t="s">
        <v>74</v>
      </c>
      <c r="L667" t="s">
        <v>1235</v>
      </c>
      <c r="M667" t="s">
        <v>169</v>
      </c>
      <c r="N667" t="s">
        <v>30</v>
      </c>
      <c r="O667">
        <v>18</v>
      </c>
      <c r="P667" t="s">
        <v>54</v>
      </c>
      <c r="Q667" t="s">
        <v>211</v>
      </c>
      <c r="R667" t="s">
        <v>212</v>
      </c>
      <c r="S667" t="s">
        <v>128</v>
      </c>
      <c r="T667" t="s">
        <v>16</v>
      </c>
      <c r="U667">
        <v>2</v>
      </c>
      <c r="V667">
        <v>50</v>
      </c>
      <c r="W667">
        <v>140</v>
      </c>
      <c r="X667">
        <v>10</v>
      </c>
      <c r="Y667">
        <v>252</v>
      </c>
      <c r="Z667">
        <v>152</v>
      </c>
      <c r="AA667" t="s">
        <v>36</v>
      </c>
      <c r="AB667" t="s">
        <v>44</v>
      </c>
      <c r="AC667">
        <v>3</v>
      </c>
      <c r="AD667" t="s">
        <v>105</v>
      </c>
      <c r="AE667" t="s">
        <v>20</v>
      </c>
      <c r="AF667" t="str">
        <f t="shared" si="21"/>
        <v>Yes</v>
      </c>
    </row>
    <row r="668" spans="1:32" x14ac:dyDescent="0.3">
      <c r="A668" t="s">
        <v>1236</v>
      </c>
      <c r="B668" s="1">
        <v>45743</v>
      </c>
      <c r="C668" t="s">
        <v>322</v>
      </c>
      <c r="D668">
        <f t="shared" si="20"/>
        <v>10</v>
      </c>
      <c r="E668" t="s">
        <v>72</v>
      </c>
      <c r="F668" t="s">
        <v>3</v>
      </c>
      <c r="G668" t="s">
        <v>98</v>
      </c>
      <c r="H668" t="s">
        <v>61</v>
      </c>
      <c r="I668" t="s">
        <v>62</v>
      </c>
      <c r="J668" t="s">
        <v>7</v>
      </c>
      <c r="K668" t="s">
        <v>323</v>
      </c>
      <c r="L668" t="s">
        <v>450</v>
      </c>
      <c r="M668" t="s">
        <v>225</v>
      </c>
      <c r="N668" t="s">
        <v>11</v>
      </c>
      <c r="O668">
        <v>28</v>
      </c>
      <c r="P668" t="s">
        <v>91</v>
      </c>
      <c r="Q668" t="s">
        <v>211</v>
      </c>
      <c r="R668" t="s">
        <v>212</v>
      </c>
      <c r="S668" t="s">
        <v>128</v>
      </c>
      <c r="T668" t="s">
        <v>16</v>
      </c>
      <c r="U668">
        <v>3</v>
      </c>
      <c r="V668">
        <v>50</v>
      </c>
      <c r="W668">
        <v>140</v>
      </c>
      <c r="X668">
        <v>0</v>
      </c>
      <c r="Y668">
        <v>420</v>
      </c>
      <c r="Z668">
        <v>270</v>
      </c>
      <c r="AA668" t="s">
        <v>179</v>
      </c>
      <c r="AB668" t="s">
        <v>119</v>
      </c>
      <c r="AD668" t="s">
        <v>105</v>
      </c>
      <c r="AE668" t="s">
        <v>20</v>
      </c>
      <c r="AF668" t="str">
        <f t="shared" si="21"/>
        <v>Yes</v>
      </c>
    </row>
    <row r="669" spans="1:32" x14ac:dyDescent="0.3">
      <c r="A669" t="s">
        <v>1237</v>
      </c>
      <c r="B669" s="1">
        <v>45751</v>
      </c>
      <c r="C669" t="s">
        <v>97</v>
      </c>
      <c r="D669">
        <f t="shared" si="20"/>
        <v>7</v>
      </c>
      <c r="E669" t="s">
        <v>60</v>
      </c>
      <c r="F669" t="s">
        <v>48</v>
      </c>
      <c r="G669" t="s">
        <v>40</v>
      </c>
      <c r="H669" t="s">
        <v>81</v>
      </c>
      <c r="I669" t="s">
        <v>82</v>
      </c>
      <c r="J669" t="s">
        <v>7</v>
      </c>
      <c r="K669" t="s">
        <v>318</v>
      </c>
      <c r="L669" t="s">
        <v>784</v>
      </c>
      <c r="M669" t="s">
        <v>10</v>
      </c>
      <c r="N669" t="s">
        <v>30</v>
      </c>
      <c r="O669">
        <v>53</v>
      </c>
      <c r="P669" t="s">
        <v>12</v>
      </c>
      <c r="Q669" t="s">
        <v>141</v>
      </c>
      <c r="R669" t="s">
        <v>142</v>
      </c>
      <c r="S669" t="s">
        <v>111</v>
      </c>
      <c r="T669" t="s">
        <v>16</v>
      </c>
      <c r="U669">
        <v>2</v>
      </c>
      <c r="V669">
        <v>35</v>
      </c>
      <c r="W669">
        <v>77</v>
      </c>
      <c r="X669">
        <v>0</v>
      </c>
      <c r="Y669">
        <v>154</v>
      </c>
      <c r="Z669">
        <v>84</v>
      </c>
      <c r="AA669" t="s">
        <v>17</v>
      </c>
      <c r="AB669" t="s">
        <v>129</v>
      </c>
      <c r="AC669">
        <v>5</v>
      </c>
      <c r="AD669" t="s">
        <v>19</v>
      </c>
      <c r="AE669" t="s">
        <v>20</v>
      </c>
      <c r="AF669" t="str">
        <f t="shared" si="21"/>
        <v>Yes</v>
      </c>
    </row>
    <row r="670" spans="1:32" x14ac:dyDescent="0.3">
      <c r="A670" t="s">
        <v>1238</v>
      </c>
      <c r="B670" s="1">
        <v>45817</v>
      </c>
      <c r="C670" t="s">
        <v>80</v>
      </c>
      <c r="D670">
        <f t="shared" si="20"/>
        <v>10</v>
      </c>
      <c r="E670" t="s">
        <v>131</v>
      </c>
      <c r="F670" t="s">
        <v>48</v>
      </c>
      <c r="G670" t="s">
        <v>23</v>
      </c>
      <c r="H670" t="s">
        <v>49</v>
      </c>
      <c r="I670" t="s">
        <v>50</v>
      </c>
      <c r="J670" t="s">
        <v>7</v>
      </c>
      <c r="K670" t="s">
        <v>153</v>
      </c>
      <c r="L670" t="s">
        <v>623</v>
      </c>
      <c r="M670" t="s">
        <v>140</v>
      </c>
      <c r="N670" t="s">
        <v>11</v>
      </c>
      <c r="O670">
        <v>19</v>
      </c>
      <c r="P670" t="s">
        <v>91</v>
      </c>
      <c r="Q670" t="s">
        <v>518</v>
      </c>
      <c r="R670" t="s">
        <v>519</v>
      </c>
      <c r="S670" t="s">
        <v>242</v>
      </c>
      <c r="T670" t="s">
        <v>35</v>
      </c>
      <c r="U670">
        <v>2</v>
      </c>
      <c r="V670">
        <v>88</v>
      </c>
      <c r="W670">
        <v>193.6</v>
      </c>
      <c r="X670">
        <v>15</v>
      </c>
      <c r="Y670">
        <v>329.12</v>
      </c>
      <c r="Z670">
        <v>153.12</v>
      </c>
      <c r="AA670" t="s">
        <v>36</v>
      </c>
      <c r="AB670" t="s">
        <v>129</v>
      </c>
      <c r="AC670">
        <v>4</v>
      </c>
      <c r="AD670" t="s">
        <v>105</v>
      </c>
      <c r="AE670" t="s">
        <v>20</v>
      </c>
      <c r="AF670" t="str">
        <f t="shared" si="21"/>
        <v>Yes</v>
      </c>
    </row>
    <row r="671" spans="1:32" x14ac:dyDescent="0.3">
      <c r="A671" t="s">
        <v>1239</v>
      </c>
      <c r="B671" s="1">
        <v>45765</v>
      </c>
      <c r="C671" t="s">
        <v>250</v>
      </c>
      <c r="D671">
        <f t="shared" si="20"/>
        <v>13</v>
      </c>
      <c r="E671" t="s">
        <v>60</v>
      </c>
      <c r="F671" t="s">
        <v>48</v>
      </c>
      <c r="G671" t="s">
        <v>40</v>
      </c>
      <c r="H671" t="s">
        <v>24</v>
      </c>
      <c r="I671" t="s">
        <v>25</v>
      </c>
      <c r="J671" t="s">
        <v>26</v>
      </c>
      <c r="K671" t="s">
        <v>83</v>
      </c>
      <c r="L671" t="s">
        <v>765</v>
      </c>
      <c r="M671" t="s">
        <v>225</v>
      </c>
      <c r="N671" t="s">
        <v>11</v>
      </c>
      <c r="O671">
        <v>52</v>
      </c>
      <c r="P671" t="s">
        <v>31</v>
      </c>
      <c r="Q671" t="s">
        <v>295</v>
      </c>
      <c r="R671" t="s">
        <v>296</v>
      </c>
      <c r="S671" t="s">
        <v>57</v>
      </c>
      <c r="T671" t="s">
        <v>35</v>
      </c>
      <c r="U671">
        <v>1</v>
      </c>
      <c r="V671">
        <v>62</v>
      </c>
      <c r="W671">
        <v>186</v>
      </c>
      <c r="X671">
        <v>5</v>
      </c>
      <c r="Y671">
        <v>176.7</v>
      </c>
      <c r="Z671">
        <v>114.7</v>
      </c>
      <c r="AA671" t="s">
        <v>17</v>
      </c>
      <c r="AB671" t="s">
        <v>44</v>
      </c>
      <c r="AC671">
        <v>4</v>
      </c>
      <c r="AD671" t="s">
        <v>105</v>
      </c>
      <c r="AE671" t="s">
        <v>95</v>
      </c>
      <c r="AF671" t="str">
        <f t="shared" si="21"/>
        <v>No</v>
      </c>
    </row>
    <row r="672" spans="1:32" x14ac:dyDescent="0.3">
      <c r="A672" t="s">
        <v>1240</v>
      </c>
      <c r="B672" s="1">
        <v>45814</v>
      </c>
      <c r="C672" t="s">
        <v>330</v>
      </c>
      <c r="D672">
        <f t="shared" si="20"/>
        <v>14</v>
      </c>
      <c r="E672" t="s">
        <v>131</v>
      </c>
      <c r="F672" t="s">
        <v>48</v>
      </c>
      <c r="G672" t="s">
        <v>40</v>
      </c>
      <c r="H672" t="s">
        <v>150</v>
      </c>
      <c r="I672" t="s">
        <v>151</v>
      </c>
      <c r="J672" t="s">
        <v>152</v>
      </c>
      <c r="K672" t="s">
        <v>323</v>
      </c>
      <c r="L672" t="s">
        <v>1241</v>
      </c>
      <c r="M672" t="s">
        <v>53</v>
      </c>
      <c r="N672" t="s">
        <v>30</v>
      </c>
      <c r="O672">
        <v>39</v>
      </c>
      <c r="P672" t="s">
        <v>31</v>
      </c>
      <c r="Q672" t="s">
        <v>518</v>
      </c>
      <c r="R672" t="s">
        <v>519</v>
      </c>
      <c r="S672" t="s">
        <v>242</v>
      </c>
      <c r="T672" t="s">
        <v>35</v>
      </c>
      <c r="U672">
        <v>4</v>
      </c>
      <c r="V672">
        <v>88</v>
      </c>
      <c r="W672">
        <v>193.6</v>
      </c>
      <c r="X672">
        <v>5</v>
      </c>
      <c r="Y672">
        <v>735.68</v>
      </c>
      <c r="Z672">
        <v>383.68</v>
      </c>
      <c r="AA672" t="s">
        <v>43</v>
      </c>
      <c r="AB672" t="s">
        <v>18</v>
      </c>
      <c r="AC672">
        <v>3</v>
      </c>
      <c r="AD672" t="s">
        <v>105</v>
      </c>
      <c r="AE672" t="s">
        <v>95</v>
      </c>
      <c r="AF672" t="str">
        <f t="shared" si="21"/>
        <v>No</v>
      </c>
    </row>
    <row r="673" spans="1:32" x14ac:dyDescent="0.3">
      <c r="A673" t="s">
        <v>1242</v>
      </c>
      <c r="B673" s="1">
        <v>45697</v>
      </c>
      <c r="C673" t="s">
        <v>22</v>
      </c>
      <c r="D673">
        <f t="shared" si="20"/>
        <v>7</v>
      </c>
      <c r="E673" t="s">
        <v>145</v>
      </c>
      <c r="F673" t="s">
        <v>3</v>
      </c>
      <c r="G673" t="s">
        <v>4</v>
      </c>
      <c r="H673" t="s">
        <v>5</v>
      </c>
      <c r="I673" t="s">
        <v>6</v>
      </c>
      <c r="J673" t="s">
        <v>7</v>
      </c>
      <c r="K673" t="s">
        <v>146</v>
      </c>
      <c r="L673" t="s">
        <v>426</v>
      </c>
      <c r="M673" t="s">
        <v>10</v>
      </c>
      <c r="N673" t="s">
        <v>30</v>
      </c>
      <c r="O673">
        <v>18</v>
      </c>
      <c r="P673" t="s">
        <v>76</v>
      </c>
      <c r="Q673" t="s">
        <v>710</v>
      </c>
      <c r="R673" t="s">
        <v>711</v>
      </c>
      <c r="S673" t="s">
        <v>94</v>
      </c>
      <c r="T673" t="s">
        <v>16</v>
      </c>
      <c r="U673">
        <v>4</v>
      </c>
      <c r="V673">
        <v>83</v>
      </c>
      <c r="W673">
        <v>182.6</v>
      </c>
      <c r="X673">
        <v>0</v>
      </c>
      <c r="Y673">
        <v>730.4</v>
      </c>
      <c r="Z673">
        <v>398.4</v>
      </c>
      <c r="AA673" t="s">
        <v>36</v>
      </c>
      <c r="AB673" t="s">
        <v>44</v>
      </c>
      <c r="AD673" t="s">
        <v>105</v>
      </c>
      <c r="AE673" t="s">
        <v>20</v>
      </c>
      <c r="AF673" t="str">
        <f t="shared" si="21"/>
        <v>Yes</v>
      </c>
    </row>
    <row r="674" spans="1:32" x14ac:dyDescent="0.3">
      <c r="A674" t="s">
        <v>1243</v>
      </c>
      <c r="B674" s="1">
        <v>45746</v>
      </c>
      <c r="C674" t="s">
        <v>113</v>
      </c>
      <c r="D674">
        <f t="shared" si="20"/>
        <v>8</v>
      </c>
      <c r="E674" t="s">
        <v>72</v>
      </c>
      <c r="F674" t="s">
        <v>3</v>
      </c>
      <c r="G674" t="s">
        <v>4</v>
      </c>
      <c r="H674" t="s">
        <v>24</v>
      </c>
      <c r="I674" t="s">
        <v>25</v>
      </c>
      <c r="J674" t="s">
        <v>26</v>
      </c>
      <c r="K674" t="s">
        <v>124</v>
      </c>
      <c r="L674" t="s">
        <v>875</v>
      </c>
      <c r="M674" t="s">
        <v>261</v>
      </c>
      <c r="N674" t="s">
        <v>11</v>
      </c>
      <c r="O674">
        <v>34</v>
      </c>
      <c r="P674" t="s">
        <v>91</v>
      </c>
      <c r="Q674" t="s">
        <v>313</v>
      </c>
      <c r="R674" t="s">
        <v>314</v>
      </c>
      <c r="S674" t="s">
        <v>128</v>
      </c>
      <c r="T674" t="s">
        <v>35</v>
      </c>
      <c r="U674">
        <v>1</v>
      </c>
      <c r="V674">
        <v>81</v>
      </c>
      <c r="W674">
        <v>202.5</v>
      </c>
      <c r="X674">
        <v>5</v>
      </c>
      <c r="Y674">
        <v>192.38</v>
      </c>
      <c r="Z674">
        <v>111.38</v>
      </c>
      <c r="AA674" t="s">
        <v>17</v>
      </c>
      <c r="AB674" t="s">
        <v>87</v>
      </c>
      <c r="AC674">
        <v>3</v>
      </c>
      <c r="AD674" t="s">
        <v>19</v>
      </c>
      <c r="AE674" t="s">
        <v>95</v>
      </c>
      <c r="AF674" t="str">
        <f t="shared" si="21"/>
        <v>No</v>
      </c>
    </row>
    <row r="675" spans="1:32" x14ac:dyDescent="0.3">
      <c r="A675" t="s">
        <v>1244</v>
      </c>
      <c r="B675" s="1">
        <v>45694</v>
      </c>
      <c r="C675" t="s">
        <v>474</v>
      </c>
      <c r="D675">
        <f t="shared" si="20"/>
        <v>12</v>
      </c>
      <c r="E675" t="s">
        <v>145</v>
      </c>
      <c r="F675" t="s">
        <v>3</v>
      </c>
      <c r="G675" t="s">
        <v>98</v>
      </c>
      <c r="H675" t="s">
        <v>61</v>
      </c>
      <c r="I675" t="s">
        <v>62</v>
      </c>
      <c r="J675" t="s">
        <v>7</v>
      </c>
      <c r="K675" t="s">
        <v>51</v>
      </c>
      <c r="L675" t="s">
        <v>702</v>
      </c>
      <c r="M675" t="s">
        <v>261</v>
      </c>
      <c r="N675" t="s">
        <v>11</v>
      </c>
      <c r="O675">
        <v>54</v>
      </c>
      <c r="P675" t="s">
        <v>54</v>
      </c>
      <c r="Q675" t="s">
        <v>77</v>
      </c>
      <c r="R675" t="s">
        <v>78</v>
      </c>
      <c r="S675" t="s">
        <v>68</v>
      </c>
      <c r="T675" t="s">
        <v>16</v>
      </c>
      <c r="U675">
        <v>3</v>
      </c>
      <c r="V675">
        <v>35</v>
      </c>
      <c r="W675">
        <v>105</v>
      </c>
      <c r="X675">
        <v>5</v>
      </c>
      <c r="Y675">
        <v>299.25</v>
      </c>
      <c r="Z675">
        <v>194.25</v>
      </c>
      <c r="AA675" t="s">
        <v>17</v>
      </c>
      <c r="AB675" t="s">
        <v>119</v>
      </c>
      <c r="AD675" t="s">
        <v>105</v>
      </c>
      <c r="AE675" t="s">
        <v>20</v>
      </c>
      <c r="AF675" t="str">
        <f t="shared" si="21"/>
        <v>Yes</v>
      </c>
    </row>
    <row r="676" spans="1:32" x14ac:dyDescent="0.3">
      <c r="A676" t="s">
        <v>1245</v>
      </c>
      <c r="B676" s="1">
        <v>45746</v>
      </c>
      <c r="C676" t="s">
        <v>189</v>
      </c>
      <c r="D676">
        <f t="shared" si="20"/>
        <v>9</v>
      </c>
      <c r="E676" t="s">
        <v>72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107</v>
      </c>
      <c r="L676" t="s">
        <v>1246</v>
      </c>
      <c r="M676" t="s">
        <v>225</v>
      </c>
      <c r="N676" t="s">
        <v>11</v>
      </c>
      <c r="O676">
        <v>57</v>
      </c>
      <c r="P676" t="s">
        <v>76</v>
      </c>
      <c r="Q676" t="s">
        <v>436</v>
      </c>
      <c r="R676" t="s">
        <v>437</v>
      </c>
      <c r="S676" t="s">
        <v>178</v>
      </c>
      <c r="T676" t="s">
        <v>35</v>
      </c>
      <c r="U676">
        <v>2</v>
      </c>
      <c r="V676">
        <v>66</v>
      </c>
      <c r="W676">
        <v>165</v>
      </c>
      <c r="X676">
        <v>5</v>
      </c>
      <c r="Y676">
        <v>313.5</v>
      </c>
      <c r="Z676">
        <v>181.5</v>
      </c>
      <c r="AA676" t="s">
        <v>17</v>
      </c>
      <c r="AB676" t="s">
        <v>18</v>
      </c>
      <c r="AC676">
        <v>5</v>
      </c>
      <c r="AD676" t="s">
        <v>105</v>
      </c>
      <c r="AE676" t="s">
        <v>20</v>
      </c>
      <c r="AF676" t="str">
        <f t="shared" si="21"/>
        <v>Yes</v>
      </c>
    </row>
    <row r="677" spans="1:32" x14ac:dyDescent="0.3">
      <c r="A677" t="s">
        <v>1247</v>
      </c>
      <c r="B677" s="1">
        <v>45720</v>
      </c>
      <c r="C677" t="s">
        <v>322</v>
      </c>
      <c r="D677">
        <f t="shared" si="20"/>
        <v>10</v>
      </c>
      <c r="E677" t="s">
        <v>72</v>
      </c>
      <c r="F677" t="s">
        <v>3</v>
      </c>
      <c r="G677" t="s">
        <v>181</v>
      </c>
      <c r="H677" t="s">
        <v>159</v>
      </c>
      <c r="I677" t="s">
        <v>160</v>
      </c>
      <c r="J677" t="s">
        <v>161</v>
      </c>
      <c r="K677" t="s">
        <v>167</v>
      </c>
      <c r="L677" t="s">
        <v>875</v>
      </c>
      <c r="M677" t="s">
        <v>162</v>
      </c>
      <c r="N677" t="s">
        <v>30</v>
      </c>
      <c r="O677">
        <v>43</v>
      </c>
      <c r="P677" t="s">
        <v>91</v>
      </c>
      <c r="Q677" t="s">
        <v>327</v>
      </c>
      <c r="R677" t="s">
        <v>328</v>
      </c>
      <c r="S677" t="s">
        <v>136</v>
      </c>
      <c r="T677" t="s">
        <v>16</v>
      </c>
      <c r="U677">
        <v>3</v>
      </c>
      <c r="V677">
        <v>73</v>
      </c>
      <c r="W677">
        <v>160.6</v>
      </c>
      <c r="X677">
        <v>0</v>
      </c>
      <c r="Y677">
        <v>481.8</v>
      </c>
      <c r="Z677">
        <v>262.8</v>
      </c>
      <c r="AA677" t="s">
        <v>36</v>
      </c>
      <c r="AB677" t="s">
        <v>37</v>
      </c>
      <c r="AC677">
        <v>4</v>
      </c>
      <c r="AD677" t="s">
        <v>19</v>
      </c>
      <c r="AE677" t="s">
        <v>20</v>
      </c>
      <c r="AF677" t="str">
        <f t="shared" si="21"/>
        <v>Yes</v>
      </c>
    </row>
    <row r="678" spans="1:32" x14ac:dyDescent="0.3">
      <c r="A678" t="s">
        <v>1248</v>
      </c>
      <c r="B678" s="1">
        <v>45754</v>
      </c>
      <c r="C678" t="s">
        <v>330</v>
      </c>
      <c r="D678">
        <f t="shared" si="20"/>
        <v>14</v>
      </c>
      <c r="E678" t="s">
        <v>60</v>
      </c>
      <c r="F678" t="s">
        <v>48</v>
      </c>
      <c r="G678" t="s">
        <v>23</v>
      </c>
      <c r="H678" t="s">
        <v>159</v>
      </c>
      <c r="I678" t="s">
        <v>160</v>
      </c>
      <c r="J678" t="s">
        <v>161</v>
      </c>
      <c r="K678" t="s">
        <v>153</v>
      </c>
      <c r="L678" t="s">
        <v>630</v>
      </c>
      <c r="M678" t="s">
        <v>225</v>
      </c>
      <c r="N678" t="s">
        <v>11</v>
      </c>
      <c r="O678">
        <v>21</v>
      </c>
      <c r="P678" t="s">
        <v>54</v>
      </c>
      <c r="Q678" t="s">
        <v>226</v>
      </c>
      <c r="R678" t="s">
        <v>227</v>
      </c>
      <c r="S678" t="s">
        <v>68</v>
      </c>
      <c r="T678" t="s">
        <v>35</v>
      </c>
      <c r="U678">
        <v>3</v>
      </c>
      <c r="V678">
        <v>43</v>
      </c>
      <c r="W678">
        <v>94.6</v>
      </c>
      <c r="X678">
        <v>5</v>
      </c>
      <c r="Y678">
        <v>269.61</v>
      </c>
      <c r="Z678">
        <v>140.61000000000001</v>
      </c>
      <c r="AA678" t="s">
        <v>43</v>
      </c>
      <c r="AB678" t="s">
        <v>18</v>
      </c>
      <c r="AC678">
        <v>4</v>
      </c>
      <c r="AD678" t="s">
        <v>19</v>
      </c>
      <c r="AE678" t="s">
        <v>20</v>
      </c>
      <c r="AF678" t="str">
        <f t="shared" si="21"/>
        <v>Yes</v>
      </c>
    </row>
    <row r="679" spans="1:32" x14ac:dyDescent="0.3">
      <c r="A679" t="s">
        <v>1249</v>
      </c>
      <c r="B679" s="1">
        <v>45678</v>
      </c>
      <c r="C679" t="s">
        <v>345</v>
      </c>
      <c r="D679">
        <f t="shared" si="20"/>
        <v>18</v>
      </c>
      <c r="E679" t="s">
        <v>2</v>
      </c>
      <c r="F679" t="s">
        <v>3</v>
      </c>
      <c r="G679" t="s">
        <v>181</v>
      </c>
      <c r="H679" t="s">
        <v>81</v>
      </c>
      <c r="I679" t="s">
        <v>82</v>
      </c>
      <c r="J679" t="s">
        <v>7</v>
      </c>
      <c r="K679" t="s">
        <v>323</v>
      </c>
      <c r="L679" t="s">
        <v>1250</v>
      </c>
      <c r="M679" t="s">
        <v>184</v>
      </c>
      <c r="N679" t="s">
        <v>30</v>
      </c>
      <c r="O679">
        <v>61</v>
      </c>
      <c r="P679" t="s">
        <v>76</v>
      </c>
      <c r="Q679" t="s">
        <v>300</v>
      </c>
      <c r="R679" t="s">
        <v>301</v>
      </c>
      <c r="S679" t="s">
        <v>187</v>
      </c>
      <c r="T679" t="s">
        <v>35</v>
      </c>
      <c r="U679">
        <v>1</v>
      </c>
      <c r="V679">
        <v>86</v>
      </c>
      <c r="W679">
        <v>258</v>
      </c>
      <c r="X679">
        <v>5</v>
      </c>
      <c r="Y679">
        <v>245.1</v>
      </c>
      <c r="Z679">
        <v>159.1</v>
      </c>
      <c r="AA679" t="s">
        <v>43</v>
      </c>
      <c r="AB679" t="s">
        <v>129</v>
      </c>
      <c r="AD679" t="s">
        <v>19</v>
      </c>
      <c r="AE679" t="s">
        <v>20</v>
      </c>
      <c r="AF679" t="str">
        <f t="shared" si="21"/>
        <v>Yes</v>
      </c>
    </row>
    <row r="680" spans="1:32" x14ac:dyDescent="0.3">
      <c r="A680" t="s">
        <v>1251</v>
      </c>
      <c r="B680" s="1">
        <v>45746</v>
      </c>
      <c r="C680" t="s">
        <v>202</v>
      </c>
      <c r="D680">
        <f t="shared" si="20"/>
        <v>11</v>
      </c>
      <c r="E680" t="s">
        <v>72</v>
      </c>
      <c r="F680" t="s">
        <v>3</v>
      </c>
      <c r="G680" t="s">
        <v>4</v>
      </c>
      <c r="H680" t="s">
        <v>61</v>
      </c>
      <c r="I680" t="s">
        <v>62</v>
      </c>
      <c r="J680" t="s">
        <v>7</v>
      </c>
      <c r="K680" t="s">
        <v>107</v>
      </c>
      <c r="L680" t="s">
        <v>1252</v>
      </c>
      <c r="M680" t="s">
        <v>29</v>
      </c>
      <c r="N680" t="s">
        <v>11</v>
      </c>
      <c r="O680">
        <v>39</v>
      </c>
      <c r="P680" t="s">
        <v>76</v>
      </c>
      <c r="Q680" t="s">
        <v>13</v>
      </c>
      <c r="R680" t="s">
        <v>14</v>
      </c>
      <c r="S680" t="s">
        <v>15</v>
      </c>
      <c r="T680" t="s">
        <v>16</v>
      </c>
      <c r="U680">
        <v>3</v>
      </c>
      <c r="V680">
        <v>43</v>
      </c>
      <c r="W680">
        <v>129</v>
      </c>
      <c r="X680">
        <v>15</v>
      </c>
      <c r="Y680">
        <v>328.95</v>
      </c>
      <c r="Z680">
        <v>199.95</v>
      </c>
      <c r="AA680" t="s">
        <v>17</v>
      </c>
      <c r="AB680" t="s">
        <v>87</v>
      </c>
      <c r="AC680">
        <v>5</v>
      </c>
      <c r="AD680" t="s">
        <v>19</v>
      </c>
      <c r="AE680" t="s">
        <v>20</v>
      </c>
      <c r="AF680" t="str">
        <f t="shared" si="21"/>
        <v>Yes</v>
      </c>
    </row>
    <row r="681" spans="1:32" x14ac:dyDescent="0.3">
      <c r="A681" t="s">
        <v>1253</v>
      </c>
      <c r="B681" s="1">
        <v>45794</v>
      </c>
      <c r="C681" t="s">
        <v>174</v>
      </c>
      <c r="D681">
        <f t="shared" si="20"/>
        <v>17</v>
      </c>
      <c r="E681" t="s">
        <v>47</v>
      </c>
      <c r="F681" t="s">
        <v>48</v>
      </c>
      <c r="G681" t="s">
        <v>132</v>
      </c>
      <c r="H681" t="s">
        <v>81</v>
      </c>
      <c r="I681" t="s">
        <v>82</v>
      </c>
      <c r="J681" t="s">
        <v>7</v>
      </c>
      <c r="K681" t="s">
        <v>182</v>
      </c>
      <c r="L681" t="s">
        <v>386</v>
      </c>
      <c r="M681" t="s">
        <v>65</v>
      </c>
      <c r="N681" t="s">
        <v>11</v>
      </c>
      <c r="O681">
        <v>22</v>
      </c>
      <c r="P681" t="s">
        <v>76</v>
      </c>
      <c r="Q681" t="s">
        <v>226</v>
      </c>
      <c r="R681" t="s">
        <v>227</v>
      </c>
      <c r="S681" t="s">
        <v>68</v>
      </c>
      <c r="T681" t="s">
        <v>35</v>
      </c>
      <c r="U681">
        <v>2</v>
      </c>
      <c r="V681">
        <v>43</v>
      </c>
      <c r="W681">
        <v>94.6</v>
      </c>
      <c r="X681">
        <v>15</v>
      </c>
      <c r="Y681">
        <v>160.82</v>
      </c>
      <c r="Z681">
        <v>74.819999999999993</v>
      </c>
      <c r="AA681" t="s">
        <v>17</v>
      </c>
      <c r="AB681" t="s">
        <v>44</v>
      </c>
      <c r="AC681">
        <v>3</v>
      </c>
      <c r="AD681" t="s">
        <v>105</v>
      </c>
      <c r="AE681" t="s">
        <v>20</v>
      </c>
      <c r="AF681" t="str">
        <f t="shared" si="21"/>
        <v>Yes</v>
      </c>
    </row>
    <row r="682" spans="1:32" x14ac:dyDescent="0.3">
      <c r="A682" t="s">
        <v>1254</v>
      </c>
      <c r="B682" s="1">
        <v>45714</v>
      </c>
      <c r="C682" t="s">
        <v>71</v>
      </c>
      <c r="D682">
        <f t="shared" si="20"/>
        <v>10</v>
      </c>
      <c r="E682" t="s">
        <v>145</v>
      </c>
      <c r="F682" t="s">
        <v>3</v>
      </c>
      <c r="G682" t="s">
        <v>73</v>
      </c>
      <c r="H682" t="s">
        <v>24</v>
      </c>
      <c r="I682" t="s">
        <v>25</v>
      </c>
      <c r="J682" t="s">
        <v>26</v>
      </c>
      <c r="K682" t="s">
        <v>114</v>
      </c>
      <c r="L682" t="s">
        <v>858</v>
      </c>
      <c r="M682" t="s">
        <v>184</v>
      </c>
      <c r="N682" t="s">
        <v>11</v>
      </c>
      <c r="O682">
        <v>51</v>
      </c>
      <c r="P682" t="s">
        <v>76</v>
      </c>
      <c r="Q682" t="s">
        <v>409</v>
      </c>
      <c r="R682" t="s">
        <v>410</v>
      </c>
      <c r="S682" t="s">
        <v>237</v>
      </c>
      <c r="T682" t="s">
        <v>16</v>
      </c>
      <c r="U682">
        <v>4</v>
      </c>
      <c r="V682">
        <v>26</v>
      </c>
      <c r="W682">
        <v>78</v>
      </c>
      <c r="X682">
        <v>0</v>
      </c>
      <c r="Y682">
        <v>312</v>
      </c>
      <c r="Z682">
        <v>208</v>
      </c>
      <c r="AA682" t="s">
        <v>17</v>
      </c>
      <c r="AB682" t="s">
        <v>87</v>
      </c>
      <c r="AC682">
        <v>4</v>
      </c>
      <c r="AD682" t="s">
        <v>105</v>
      </c>
      <c r="AE682" t="s">
        <v>20</v>
      </c>
      <c r="AF682" t="str">
        <f t="shared" si="21"/>
        <v>Yes</v>
      </c>
    </row>
    <row r="683" spans="1:32" x14ac:dyDescent="0.3">
      <c r="A683" t="s">
        <v>1255</v>
      </c>
      <c r="B683" s="1">
        <v>45686</v>
      </c>
      <c r="C683" t="s">
        <v>113</v>
      </c>
      <c r="D683">
        <f t="shared" si="20"/>
        <v>8</v>
      </c>
      <c r="E683" t="s">
        <v>2</v>
      </c>
      <c r="F683" t="s">
        <v>3</v>
      </c>
      <c r="G683" t="s">
        <v>73</v>
      </c>
      <c r="H683" t="s">
        <v>61</v>
      </c>
      <c r="I683" t="s">
        <v>62</v>
      </c>
      <c r="J683" t="s">
        <v>7</v>
      </c>
      <c r="K683" t="s">
        <v>311</v>
      </c>
      <c r="L683" t="s">
        <v>1256</v>
      </c>
      <c r="M683" t="s">
        <v>53</v>
      </c>
      <c r="N683" t="s">
        <v>30</v>
      </c>
      <c r="O683">
        <v>33</v>
      </c>
      <c r="P683" t="s">
        <v>31</v>
      </c>
      <c r="Q683" t="s">
        <v>204</v>
      </c>
      <c r="R683" t="s">
        <v>205</v>
      </c>
      <c r="S683" t="s">
        <v>118</v>
      </c>
      <c r="T683" t="s">
        <v>35</v>
      </c>
      <c r="U683">
        <v>4</v>
      </c>
      <c r="V683">
        <v>59</v>
      </c>
      <c r="W683">
        <v>177</v>
      </c>
      <c r="X683">
        <v>15</v>
      </c>
      <c r="Y683">
        <v>601.79999999999995</v>
      </c>
      <c r="Z683">
        <v>365.8</v>
      </c>
      <c r="AA683" t="s">
        <v>36</v>
      </c>
      <c r="AB683" t="s">
        <v>44</v>
      </c>
      <c r="AC683">
        <v>4</v>
      </c>
      <c r="AD683" t="s">
        <v>105</v>
      </c>
      <c r="AE683" t="s">
        <v>20</v>
      </c>
      <c r="AF683" t="str">
        <f t="shared" si="21"/>
        <v>Yes</v>
      </c>
    </row>
    <row r="684" spans="1:32" x14ac:dyDescent="0.3">
      <c r="A684" t="s">
        <v>1257</v>
      </c>
      <c r="B684" s="1">
        <v>45678</v>
      </c>
      <c r="C684" t="s">
        <v>396</v>
      </c>
      <c r="D684">
        <f t="shared" si="20"/>
        <v>16</v>
      </c>
      <c r="E684" t="s">
        <v>2</v>
      </c>
      <c r="F684" t="s">
        <v>3</v>
      </c>
      <c r="G684" t="s">
        <v>181</v>
      </c>
      <c r="H684" t="s">
        <v>99</v>
      </c>
      <c r="I684" t="s">
        <v>100</v>
      </c>
      <c r="J684" t="s">
        <v>101</v>
      </c>
      <c r="K684" t="s">
        <v>27</v>
      </c>
      <c r="L684" t="s">
        <v>1046</v>
      </c>
      <c r="M684" t="s">
        <v>261</v>
      </c>
      <c r="N684" t="s">
        <v>30</v>
      </c>
      <c r="O684">
        <v>60</v>
      </c>
      <c r="P684" t="s">
        <v>12</v>
      </c>
      <c r="Q684" t="s">
        <v>134</v>
      </c>
      <c r="R684" t="s">
        <v>135</v>
      </c>
      <c r="S684" t="s">
        <v>136</v>
      </c>
      <c r="T684" t="s">
        <v>35</v>
      </c>
      <c r="U684">
        <v>3</v>
      </c>
      <c r="V684">
        <v>20</v>
      </c>
      <c r="W684">
        <v>60</v>
      </c>
      <c r="X684">
        <v>15</v>
      </c>
      <c r="Y684">
        <v>153</v>
      </c>
      <c r="Z684">
        <v>93</v>
      </c>
      <c r="AA684" t="s">
        <v>43</v>
      </c>
      <c r="AB684" t="s">
        <v>129</v>
      </c>
      <c r="AD684" t="s">
        <v>19</v>
      </c>
      <c r="AE684" t="s">
        <v>20</v>
      </c>
      <c r="AF684" t="str">
        <f t="shared" si="21"/>
        <v>Yes</v>
      </c>
    </row>
    <row r="685" spans="1:32" x14ac:dyDescent="0.3">
      <c r="A685" t="s">
        <v>1258</v>
      </c>
      <c r="B685" s="1">
        <v>45811</v>
      </c>
      <c r="C685" t="s">
        <v>345</v>
      </c>
      <c r="D685">
        <f t="shared" si="20"/>
        <v>18</v>
      </c>
      <c r="E685" t="s">
        <v>131</v>
      </c>
      <c r="F685" t="s">
        <v>48</v>
      </c>
      <c r="G685" t="s">
        <v>181</v>
      </c>
      <c r="H685" t="s">
        <v>61</v>
      </c>
      <c r="I685" t="s">
        <v>62</v>
      </c>
      <c r="J685" t="s">
        <v>7</v>
      </c>
      <c r="K685" t="s">
        <v>138</v>
      </c>
      <c r="L685" t="s">
        <v>294</v>
      </c>
      <c r="M685" t="s">
        <v>261</v>
      </c>
      <c r="N685" t="s">
        <v>30</v>
      </c>
      <c r="O685">
        <v>46</v>
      </c>
      <c r="P685" t="s">
        <v>91</v>
      </c>
      <c r="Q685" t="s">
        <v>240</v>
      </c>
      <c r="R685" t="s">
        <v>241</v>
      </c>
      <c r="S685" t="s">
        <v>242</v>
      </c>
      <c r="T685" t="s">
        <v>35</v>
      </c>
      <c r="U685">
        <v>2</v>
      </c>
      <c r="V685">
        <v>89</v>
      </c>
      <c r="W685">
        <v>267</v>
      </c>
      <c r="X685">
        <v>10</v>
      </c>
      <c r="Y685">
        <v>480.6</v>
      </c>
      <c r="Z685">
        <v>302.60000000000002</v>
      </c>
      <c r="AA685" t="s">
        <v>36</v>
      </c>
      <c r="AB685" t="s">
        <v>18</v>
      </c>
      <c r="AC685">
        <v>4</v>
      </c>
      <c r="AD685" t="s">
        <v>105</v>
      </c>
      <c r="AE685" t="s">
        <v>20</v>
      </c>
      <c r="AF685" t="str">
        <f t="shared" si="21"/>
        <v>Yes</v>
      </c>
    </row>
    <row r="686" spans="1:32" x14ac:dyDescent="0.3">
      <c r="A686" t="s">
        <v>1259</v>
      </c>
      <c r="B686" s="1">
        <v>45673</v>
      </c>
      <c r="C686" t="s">
        <v>39</v>
      </c>
      <c r="D686">
        <f t="shared" si="20"/>
        <v>18</v>
      </c>
      <c r="E686" t="s">
        <v>2</v>
      </c>
      <c r="F686" t="s">
        <v>3</v>
      </c>
      <c r="G686" t="s">
        <v>98</v>
      </c>
      <c r="H686" t="s">
        <v>122</v>
      </c>
      <c r="I686" t="s">
        <v>123</v>
      </c>
      <c r="J686" t="s">
        <v>7</v>
      </c>
      <c r="K686" t="s">
        <v>83</v>
      </c>
      <c r="L686" t="s">
        <v>363</v>
      </c>
      <c r="M686" t="s">
        <v>10</v>
      </c>
      <c r="N686" t="s">
        <v>11</v>
      </c>
      <c r="O686">
        <v>42</v>
      </c>
      <c r="P686" t="s">
        <v>76</v>
      </c>
      <c r="Q686" t="s">
        <v>141</v>
      </c>
      <c r="R686" t="s">
        <v>142</v>
      </c>
      <c r="S686" t="s">
        <v>111</v>
      </c>
      <c r="T686" t="s">
        <v>16</v>
      </c>
      <c r="U686">
        <v>3</v>
      </c>
      <c r="V686">
        <v>35</v>
      </c>
      <c r="W686">
        <v>77</v>
      </c>
      <c r="X686">
        <v>5</v>
      </c>
      <c r="Y686">
        <v>219.45</v>
      </c>
      <c r="Z686">
        <v>114.45</v>
      </c>
      <c r="AA686" t="s">
        <v>179</v>
      </c>
      <c r="AB686" t="s">
        <v>129</v>
      </c>
      <c r="AC686">
        <v>3</v>
      </c>
      <c r="AD686" t="s">
        <v>19</v>
      </c>
      <c r="AE686" t="s">
        <v>20</v>
      </c>
      <c r="AF686" t="str">
        <f t="shared" si="21"/>
        <v>Yes</v>
      </c>
    </row>
    <row r="687" spans="1:32" x14ac:dyDescent="0.3">
      <c r="A687" t="s">
        <v>1260</v>
      </c>
      <c r="B687" s="1">
        <v>45776</v>
      </c>
      <c r="C687" t="s">
        <v>144</v>
      </c>
      <c r="D687">
        <f t="shared" si="20"/>
        <v>20</v>
      </c>
      <c r="E687" t="s">
        <v>60</v>
      </c>
      <c r="F687" t="s">
        <v>48</v>
      </c>
      <c r="G687" t="s">
        <v>181</v>
      </c>
      <c r="H687" t="s">
        <v>164</v>
      </c>
      <c r="I687" t="s">
        <v>165</v>
      </c>
      <c r="J687" t="s">
        <v>166</v>
      </c>
      <c r="K687" t="s">
        <v>124</v>
      </c>
      <c r="L687" t="s">
        <v>779</v>
      </c>
      <c r="M687" t="s">
        <v>53</v>
      </c>
      <c r="N687" t="s">
        <v>30</v>
      </c>
      <c r="O687">
        <v>60</v>
      </c>
      <c r="P687" t="s">
        <v>31</v>
      </c>
      <c r="Q687" t="s">
        <v>109</v>
      </c>
      <c r="R687" t="s">
        <v>110</v>
      </c>
      <c r="S687" t="s">
        <v>111</v>
      </c>
      <c r="T687" t="s">
        <v>16</v>
      </c>
      <c r="U687">
        <v>2</v>
      </c>
      <c r="V687">
        <v>83</v>
      </c>
      <c r="W687">
        <v>182.6</v>
      </c>
      <c r="X687">
        <v>10</v>
      </c>
      <c r="Y687">
        <v>328.68</v>
      </c>
      <c r="Z687">
        <v>162.68</v>
      </c>
      <c r="AA687" t="s">
        <v>17</v>
      </c>
      <c r="AB687" t="s">
        <v>18</v>
      </c>
      <c r="AC687">
        <v>4</v>
      </c>
      <c r="AD687" t="s">
        <v>19</v>
      </c>
      <c r="AE687" t="s">
        <v>20</v>
      </c>
      <c r="AF687" t="str">
        <f t="shared" si="21"/>
        <v>Yes</v>
      </c>
    </row>
    <row r="688" spans="1:32" x14ac:dyDescent="0.3">
      <c r="A688" t="s">
        <v>1261</v>
      </c>
      <c r="B688" s="1">
        <v>45660</v>
      </c>
      <c r="C688" t="s">
        <v>340</v>
      </c>
      <c r="D688">
        <f t="shared" si="20"/>
        <v>17</v>
      </c>
      <c r="E688" t="s">
        <v>2</v>
      </c>
      <c r="F688" t="s">
        <v>3</v>
      </c>
      <c r="G688" t="s">
        <v>40</v>
      </c>
      <c r="H688" t="s">
        <v>49</v>
      </c>
      <c r="I688" t="s">
        <v>50</v>
      </c>
      <c r="J688" t="s">
        <v>7</v>
      </c>
      <c r="K688" t="s">
        <v>27</v>
      </c>
      <c r="L688" t="s">
        <v>380</v>
      </c>
      <c r="M688" t="s">
        <v>169</v>
      </c>
      <c r="N688" t="s">
        <v>11</v>
      </c>
      <c r="O688">
        <v>28</v>
      </c>
      <c r="P688" t="s">
        <v>91</v>
      </c>
      <c r="Q688" t="s">
        <v>390</v>
      </c>
      <c r="R688" t="s">
        <v>391</v>
      </c>
      <c r="S688" t="s">
        <v>172</v>
      </c>
      <c r="T688" t="s">
        <v>16</v>
      </c>
      <c r="U688">
        <v>1</v>
      </c>
      <c r="V688">
        <v>69</v>
      </c>
      <c r="W688">
        <v>193.2</v>
      </c>
      <c r="X688">
        <v>10</v>
      </c>
      <c r="Y688">
        <v>173.88</v>
      </c>
      <c r="Z688">
        <v>104.88</v>
      </c>
      <c r="AA688" t="s">
        <v>17</v>
      </c>
      <c r="AB688" t="s">
        <v>37</v>
      </c>
      <c r="AC688">
        <v>5</v>
      </c>
      <c r="AD688" t="s">
        <v>19</v>
      </c>
      <c r="AE688" t="s">
        <v>20</v>
      </c>
      <c r="AF688" t="str">
        <f t="shared" si="21"/>
        <v>Yes</v>
      </c>
    </row>
    <row r="689" spans="1:32" x14ac:dyDescent="0.3">
      <c r="A689" t="s">
        <v>1262</v>
      </c>
      <c r="B689" s="1">
        <v>45702</v>
      </c>
      <c r="C689" t="s">
        <v>189</v>
      </c>
      <c r="D689">
        <f t="shared" si="20"/>
        <v>9</v>
      </c>
      <c r="E689" t="s">
        <v>145</v>
      </c>
      <c r="F689" t="s">
        <v>3</v>
      </c>
      <c r="G689" t="s">
        <v>40</v>
      </c>
      <c r="H689" t="s">
        <v>81</v>
      </c>
      <c r="I689" t="s">
        <v>82</v>
      </c>
      <c r="J689" t="s">
        <v>7</v>
      </c>
      <c r="K689" t="s">
        <v>245</v>
      </c>
      <c r="L689" t="s">
        <v>908</v>
      </c>
      <c r="M689" t="s">
        <v>10</v>
      </c>
      <c r="N689" t="s">
        <v>11</v>
      </c>
      <c r="O689">
        <v>37</v>
      </c>
      <c r="P689" t="s">
        <v>91</v>
      </c>
      <c r="Q689" t="s">
        <v>141</v>
      </c>
      <c r="R689" t="s">
        <v>142</v>
      </c>
      <c r="S689" t="s">
        <v>111</v>
      </c>
      <c r="T689" t="s">
        <v>16</v>
      </c>
      <c r="U689">
        <v>1</v>
      </c>
      <c r="V689">
        <v>35</v>
      </c>
      <c r="W689">
        <v>77</v>
      </c>
      <c r="X689">
        <v>15</v>
      </c>
      <c r="Y689">
        <v>65.45</v>
      </c>
      <c r="Z689">
        <v>30.45</v>
      </c>
      <c r="AA689" t="s">
        <v>36</v>
      </c>
      <c r="AB689" t="s">
        <v>87</v>
      </c>
      <c r="AD689" t="s">
        <v>19</v>
      </c>
      <c r="AE689" t="s">
        <v>20</v>
      </c>
      <c r="AF689" t="str">
        <f t="shared" si="21"/>
        <v>Yes</v>
      </c>
    </row>
    <row r="690" spans="1:32" x14ac:dyDescent="0.3">
      <c r="A690" t="s">
        <v>1263</v>
      </c>
      <c r="B690" s="1">
        <v>45673</v>
      </c>
      <c r="C690" t="s">
        <v>39</v>
      </c>
      <c r="D690">
        <f t="shared" si="20"/>
        <v>18</v>
      </c>
      <c r="E690" t="s">
        <v>2</v>
      </c>
      <c r="F690" t="s">
        <v>3</v>
      </c>
      <c r="G690" t="s">
        <v>98</v>
      </c>
      <c r="H690" t="s">
        <v>49</v>
      </c>
      <c r="I690" t="s">
        <v>50</v>
      </c>
      <c r="J690" t="s">
        <v>7</v>
      </c>
      <c r="K690" t="s">
        <v>352</v>
      </c>
      <c r="L690" t="s">
        <v>1264</v>
      </c>
      <c r="M690" t="s">
        <v>184</v>
      </c>
      <c r="N690" t="s">
        <v>11</v>
      </c>
      <c r="O690">
        <v>48</v>
      </c>
      <c r="P690" t="s">
        <v>31</v>
      </c>
      <c r="Q690" t="s">
        <v>272</v>
      </c>
      <c r="R690" t="s">
        <v>273</v>
      </c>
      <c r="S690" t="s">
        <v>57</v>
      </c>
      <c r="T690" t="s">
        <v>16</v>
      </c>
      <c r="U690">
        <v>2</v>
      </c>
      <c r="V690">
        <v>55</v>
      </c>
      <c r="W690">
        <v>154</v>
      </c>
      <c r="X690">
        <v>10</v>
      </c>
      <c r="Y690">
        <v>277.2</v>
      </c>
      <c r="Z690">
        <v>167.2</v>
      </c>
      <c r="AA690" t="s">
        <v>17</v>
      </c>
      <c r="AB690" t="s">
        <v>129</v>
      </c>
      <c r="AC690">
        <v>5</v>
      </c>
      <c r="AD690" t="s">
        <v>105</v>
      </c>
      <c r="AE690" t="s">
        <v>20</v>
      </c>
      <c r="AF690" t="str">
        <f t="shared" si="21"/>
        <v>Yes</v>
      </c>
    </row>
    <row r="691" spans="1:32" x14ac:dyDescent="0.3">
      <c r="A691" t="s">
        <v>1265</v>
      </c>
      <c r="B691" s="1">
        <v>45743</v>
      </c>
      <c r="C691" t="s">
        <v>537</v>
      </c>
      <c r="D691">
        <f t="shared" si="20"/>
        <v>8</v>
      </c>
      <c r="E691" t="s">
        <v>72</v>
      </c>
      <c r="F691" t="s">
        <v>3</v>
      </c>
      <c r="G691" t="s">
        <v>98</v>
      </c>
      <c r="H691" t="s">
        <v>49</v>
      </c>
      <c r="I691" t="s">
        <v>50</v>
      </c>
      <c r="J691" t="s">
        <v>7</v>
      </c>
      <c r="K691" t="s">
        <v>146</v>
      </c>
      <c r="L691" t="s">
        <v>331</v>
      </c>
      <c r="M691" t="s">
        <v>53</v>
      </c>
      <c r="N691" t="s">
        <v>11</v>
      </c>
      <c r="O691">
        <v>24</v>
      </c>
      <c r="P691" t="s">
        <v>31</v>
      </c>
      <c r="Q691" t="s">
        <v>390</v>
      </c>
      <c r="R691" t="s">
        <v>391</v>
      </c>
      <c r="S691" t="s">
        <v>172</v>
      </c>
      <c r="T691" t="s">
        <v>16</v>
      </c>
      <c r="U691">
        <v>3</v>
      </c>
      <c r="V691">
        <v>69</v>
      </c>
      <c r="W691">
        <v>193.2</v>
      </c>
      <c r="X691">
        <v>15</v>
      </c>
      <c r="Y691">
        <v>492.66</v>
      </c>
      <c r="Z691">
        <v>285.66000000000003</v>
      </c>
      <c r="AA691" t="s">
        <v>43</v>
      </c>
      <c r="AB691" t="s">
        <v>119</v>
      </c>
      <c r="AD691" t="s">
        <v>19</v>
      </c>
      <c r="AE691" t="s">
        <v>20</v>
      </c>
      <c r="AF691" t="str">
        <f t="shared" si="21"/>
        <v>Yes</v>
      </c>
    </row>
    <row r="692" spans="1:32" x14ac:dyDescent="0.3">
      <c r="A692" t="s">
        <v>1266</v>
      </c>
      <c r="B692" s="1">
        <v>45830</v>
      </c>
      <c r="C692" t="s">
        <v>537</v>
      </c>
      <c r="D692">
        <f t="shared" si="20"/>
        <v>8</v>
      </c>
      <c r="E692" t="s">
        <v>131</v>
      </c>
      <c r="F692" t="s">
        <v>48</v>
      </c>
      <c r="G692" t="s">
        <v>4</v>
      </c>
      <c r="H692" t="s">
        <v>5</v>
      </c>
      <c r="I692" t="s">
        <v>6</v>
      </c>
      <c r="J692" t="s">
        <v>7</v>
      </c>
      <c r="K692" t="s">
        <v>74</v>
      </c>
      <c r="L692" t="s">
        <v>1267</v>
      </c>
      <c r="M692" t="s">
        <v>65</v>
      </c>
      <c r="N692" t="s">
        <v>11</v>
      </c>
      <c r="O692">
        <v>46</v>
      </c>
      <c r="P692" t="s">
        <v>12</v>
      </c>
      <c r="Q692" t="s">
        <v>147</v>
      </c>
      <c r="R692" t="s">
        <v>148</v>
      </c>
      <c r="S692" t="s">
        <v>136</v>
      </c>
      <c r="T692" t="s">
        <v>35</v>
      </c>
      <c r="U692">
        <v>4</v>
      </c>
      <c r="V692">
        <v>58</v>
      </c>
      <c r="W692">
        <v>174</v>
      </c>
      <c r="X692">
        <v>0</v>
      </c>
      <c r="Y692">
        <v>696</v>
      </c>
      <c r="Z692">
        <v>464</v>
      </c>
      <c r="AA692" t="s">
        <v>17</v>
      </c>
      <c r="AB692" t="s">
        <v>18</v>
      </c>
      <c r="AD692" t="s">
        <v>19</v>
      </c>
      <c r="AE692" t="s">
        <v>20</v>
      </c>
      <c r="AF692" t="str">
        <f t="shared" si="21"/>
        <v>Yes</v>
      </c>
    </row>
    <row r="693" spans="1:32" x14ac:dyDescent="0.3">
      <c r="A693" t="s">
        <v>1268</v>
      </c>
      <c r="B693" s="1">
        <v>45671</v>
      </c>
      <c r="C693" t="s">
        <v>121</v>
      </c>
      <c r="D693">
        <f t="shared" si="20"/>
        <v>9</v>
      </c>
      <c r="E693" t="s">
        <v>2</v>
      </c>
      <c r="F693" t="s">
        <v>3</v>
      </c>
      <c r="G693" t="s">
        <v>181</v>
      </c>
      <c r="H693" t="s">
        <v>159</v>
      </c>
      <c r="I693" t="s">
        <v>160</v>
      </c>
      <c r="J693" t="s">
        <v>161</v>
      </c>
      <c r="K693" t="s">
        <v>270</v>
      </c>
      <c r="L693" t="s">
        <v>899</v>
      </c>
      <c r="M693" t="s">
        <v>53</v>
      </c>
      <c r="N693" t="s">
        <v>30</v>
      </c>
      <c r="O693">
        <v>42</v>
      </c>
      <c r="P693" t="s">
        <v>91</v>
      </c>
      <c r="Q693" t="s">
        <v>605</v>
      </c>
      <c r="R693" t="s">
        <v>606</v>
      </c>
      <c r="S693" t="s">
        <v>237</v>
      </c>
      <c r="T693" t="s">
        <v>35</v>
      </c>
      <c r="U693">
        <v>3</v>
      </c>
      <c r="V693">
        <v>79</v>
      </c>
      <c r="W693">
        <v>173.8</v>
      </c>
      <c r="X693">
        <v>10</v>
      </c>
      <c r="Y693">
        <v>469.26</v>
      </c>
      <c r="Z693">
        <v>232.26</v>
      </c>
      <c r="AA693" t="s">
        <v>43</v>
      </c>
      <c r="AB693" t="s">
        <v>18</v>
      </c>
      <c r="AC693">
        <v>5</v>
      </c>
      <c r="AD693" t="s">
        <v>19</v>
      </c>
      <c r="AE693" t="s">
        <v>95</v>
      </c>
      <c r="AF693" t="str">
        <f t="shared" si="21"/>
        <v>No</v>
      </c>
    </row>
    <row r="694" spans="1:32" x14ac:dyDescent="0.3">
      <c r="A694" t="s">
        <v>1269</v>
      </c>
      <c r="B694" s="1">
        <v>45780</v>
      </c>
      <c r="C694" t="s">
        <v>46</v>
      </c>
      <c r="D694">
        <f t="shared" si="20"/>
        <v>19</v>
      </c>
      <c r="E694" t="s">
        <v>47</v>
      </c>
      <c r="F694" t="s">
        <v>48</v>
      </c>
      <c r="G694" t="s">
        <v>132</v>
      </c>
      <c r="H694" t="s">
        <v>150</v>
      </c>
      <c r="I694" t="s">
        <v>151</v>
      </c>
      <c r="J694" t="s">
        <v>152</v>
      </c>
      <c r="K694" t="s">
        <v>27</v>
      </c>
      <c r="L694" t="s">
        <v>547</v>
      </c>
      <c r="M694" t="s">
        <v>140</v>
      </c>
      <c r="N694" t="s">
        <v>11</v>
      </c>
      <c r="O694">
        <v>31</v>
      </c>
      <c r="P694" t="s">
        <v>76</v>
      </c>
      <c r="Q694" t="s">
        <v>32</v>
      </c>
      <c r="R694" t="s">
        <v>33</v>
      </c>
      <c r="S694" t="s">
        <v>34</v>
      </c>
      <c r="T694" t="s">
        <v>35</v>
      </c>
      <c r="U694">
        <v>3</v>
      </c>
      <c r="V694">
        <v>83</v>
      </c>
      <c r="W694">
        <v>232.4</v>
      </c>
      <c r="X694">
        <v>5</v>
      </c>
      <c r="Y694">
        <v>662.34</v>
      </c>
      <c r="Z694">
        <v>413.34</v>
      </c>
      <c r="AA694" t="s">
        <v>17</v>
      </c>
      <c r="AB694" t="s">
        <v>119</v>
      </c>
      <c r="AC694">
        <v>4</v>
      </c>
      <c r="AD694" t="s">
        <v>19</v>
      </c>
      <c r="AE694" t="s">
        <v>20</v>
      </c>
      <c r="AF694" t="str">
        <f t="shared" si="21"/>
        <v>Yes</v>
      </c>
    </row>
    <row r="695" spans="1:32" x14ac:dyDescent="0.3">
      <c r="A695" t="s">
        <v>1270</v>
      </c>
      <c r="B695" s="1">
        <v>45687</v>
      </c>
      <c r="C695" t="s">
        <v>373</v>
      </c>
      <c r="D695">
        <f t="shared" si="20"/>
        <v>9</v>
      </c>
      <c r="E695" t="s">
        <v>2</v>
      </c>
      <c r="F695" t="s">
        <v>3</v>
      </c>
      <c r="G695" t="s">
        <v>98</v>
      </c>
      <c r="H695" t="s">
        <v>164</v>
      </c>
      <c r="I695" t="s">
        <v>165</v>
      </c>
      <c r="J695" t="s">
        <v>166</v>
      </c>
      <c r="K695" t="s">
        <v>74</v>
      </c>
      <c r="L695" t="s">
        <v>655</v>
      </c>
      <c r="M695" t="s">
        <v>169</v>
      </c>
      <c r="N695" t="s">
        <v>30</v>
      </c>
      <c r="O695">
        <v>65</v>
      </c>
      <c r="P695" t="s">
        <v>54</v>
      </c>
      <c r="Q695" t="s">
        <v>370</v>
      </c>
      <c r="R695" t="s">
        <v>371</v>
      </c>
      <c r="S695" t="s">
        <v>111</v>
      </c>
      <c r="T695" t="s">
        <v>35</v>
      </c>
      <c r="U695">
        <v>2</v>
      </c>
      <c r="V695">
        <v>99</v>
      </c>
      <c r="W695">
        <v>247.5</v>
      </c>
      <c r="X695">
        <v>0</v>
      </c>
      <c r="Y695">
        <v>495</v>
      </c>
      <c r="Z695">
        <v>297</v>
      </c>
      <c r="AA695" t="s">
        <v>69</v>
      </c>
      <c r="AB695" t="s">
        <v>37</v>
      </c>
      <c r="AD695" t="s">
        <v>19</v>
      </c>
      <c r="AE695" t="s">
        <v>20</v>
      </c>
      <c r="AF695" t="str">
        <f t="shared" si="21"/>
        <v>Yes</v>
      </c>
    </row>
    <row r="696" spans="1:32" x14ac:dyDescent="0.3">
      <c r="A696" t="s">
        <v>1271</v>
      </c>
      <c r="B696" s="1">
        <v>45681</v>
      </c>
      <c r="C696" t="s">
        <v>113</v>
      </c>
      <c r="D696">
        <f t="shared" si="20"/>
        <v>8</v>
      </c>
      <c r="E696" t="s">
        <v>2</v>
      </c>
      <c r="F696" t="s">
        <v>3</v>
      </c>
      <c r="G696" t="s">
        <v>40</v>
      </c>
      <c r="H696" t="s">
        <v>150</v>
      </c>
      <c r="I696" t="s">
        <v>151</v>
      </c>
      <c r="J696" t="s">
        <v>152</v>
      </c>
      <c r="K696" t="s">
        <v>138</v>
      </c>
      <c r="L696" t="s">
        <v>589</v>
      </c>
      <c r="M696" t="s">
        <v>184</v>
      </c>
      <c r="N696" t="s">
        <v>30</v>
      </c>
      <c r="O696">
        <v>22</v>
      </c>
      <c r="P696" t="s">
        <v>54</v>
      </c>
      <c r="Q696" t="s">
        <v>409</v>
      </c>
      <c r="R696" t="s">
        <v>410</v>
      </c>
      <c r="S696" t="s">
        <v>237</v>
      </c>
      <c r="T696" t="s">
        <v>16</v>
      </c>
      <c r="U696">
        <v>4</v>
      </c>
      <c r="V696">
        <v>26</v>
      </c>
      <c r="W696">
        <v>78</v>
      </c>
      <c r="X696">
        <v>10</v>
      </c>
      <c r="Y696">
        <v>280.8</v>
      </c>
      <c r="Z696">
        <v>176.8</v>
      </c>
      <c r="AA696" t="s">
        <v>179</v>
      </c>
      <c r="AB696" t="s">
        <v>129</v>
      </c>
      <c r="AC696">
        <v>3</v>
      </c>
      <c r="AD696" t="s">
        <v>105</v>
      </c>
      <c r="AE696" t="s">
        <v>95</v>
      </c>
      <c r="AF696" t="str">
        <f t="shared" si="21"/>
        <v>No</v>
      </c>
    </row>
    <row r="697" spans="1:32" x14ac:dyDescent="0.3">
      <c r="A697" t="s">
        <v>1272</v>
      </c>
      <c r="B697" s="1">
        <v>45775</v>
      </c>
      <c r="C697" t="s">
        <v>537</v>
      </c>
      <c r="D697">
        <f t="shared" si="20"/>
        <v>8</v>
      </c>
      <c r="E697" t="s">
        <v>60</v>
      </c>
      <c r="F697" t="s">
        <v>48</v>
      </c>
      <c r="G697" t="s">
        <v>23</v>
      </c>
      <c r="H697" t="s">
        <v>49</v>
      </c>
      <c r="I697" t="s">
        <v>50</v>
      </c>
      <c r="J697" t="s">
        <v>7</v>
      </c>
      <c r="K697" t="s">
        <v>27</v>
      </c>
      <c r="L697" t="s">
        <v>776</v>
      </c>
      <c r="M697" t="s">
        <v>53</v>
      </c>
      <c r="N697" t="s">
        <v>30</v>
      </c>
      <c r="O697">
        <v>57</v>
      </c>
      <c r="P697" t="s">
        <v>76</v>
      </c>
      <c r="Q697" t="s">
        <v>308</v>
      </c>
      <c r="R697" t="s">
        <v>309</v>
      </c>
      <c r="S697" t="s">
        <v>187</v>
      </c>
      <c r="T697" t="s">
        <v>35</v>
      </c>
      <c r="U697">
        <v>1</v>
      </c>
      <c r="V697">
        <v>31</v>
      </c>
      <c r="W697">
        <v>77.5</v>
      </c>
      <c r="X697">
        <v>15</v>
      </c>
      <c r="Y697">
        <v>65.88</v>
      </c>
      <c r="Z697">
        <v>34.880000000000003</v>
      </c>
      <c r="AA697" t="s">
        <v>43</v>
      </c>
      <c r="AB697" t="s">
        <v>119</v>
      </c>
      <c r="AC697">
        <v>4</v>
      </c>
      <c r="AD697" t="s">
        <v>105</v>
      </c>
      <c r="AE697" t="s">
        <v>20</v>
      </c>
      <c r="AF697" t="str">
        <f t="shared" si="21"/>
        <v>Yes</v>
      </c>
    </row>
    <row r="698" spans="1:32" x14ac:dyDescent="0.3">
      <c r="A698" t="s">
        <v>1273</v>
      </c>
      <c r="B698" s="1">
        <v>45681</v>
      </c>
      <c r="C698" t="s">
        <v>89</v>
      </c>
      <c r="D698">
        <f t="shared" si="20"/>
        <v>13</v>
      </c>
      <c r="E698" t="s">
        <v>2</v>
      </c>
      <c r="F698" t="s">
        <v>3</v>
      </c>
      <c r="G698" t="s">
        <v>40</v>
      </c>
      <c r="H698" t="s">
        <v>49</v>
      </c>
      <c r="I698" t="s">
        <v>50</v>
      </c>
      <c r="J698" t="s">
        <v>7</v>
      </c>
      <c r="K698" t="s">
        <v>124</v>
      </c>
      <c r="L698" t="s">
        <v>133</v>
      </c>
      <c r="M698" t="s">
        <v>261</v>
      </c>
      <c r="N698" t="s">
        <v>11</v>
      </c>
      <c r="O698">
        <v>29</v>
      </c>
      <c r="P698" t="s">
        <v>76</v>
      </c>
      <c r="Q698" t="s">
        <v>313</v>
      </c>
      <c r="R698" t="s">
        <v>314</v>
      </c>
      <c r="S698" t="s">
        <v>128</v>
      </c>
      <c r="T698" t="s">
        <v>35</v>
      </c>
      <c r="U698">
        <v>2</v>
      </c>
      <c r="V698">
        <v>81</v>
      </c>
      <c r="W698">
        <v>202.5</v>
      </c>
      <c r="X698">
        <v>10</v>
      </c>
      <c r="Y698">
        <v>364.5</v>
      </c>
      <c r="Z698">
        <v>202.5</v>
      </c>
      <c r="AA698" t="s">
        <v>179</v>
      </c>
      <c r="AB698" t="s">
        <v>44</v>
      </c>
      <c r="AC698">
        <v>4</v>
      </c>
      <c r="AD698" t="s">
        <v>19</v>
      </c>
      <c r="AE698" t="s">
        <v>20</v>
      </c>
      <c r="AF698" t="str">
        <f t="shared" si="21"/>
        <v>Yes</v>
      </c>
    </row>
    <row r="699" spans="1:32" x14ac:dyDescent="0.3">
      <c r="A699" t="s">
        <v>1274</v>
      </c>
      <c r="B699" s="1">
        <v>45688</v>
      </c>
      <c r="C699" t="s">
        <v>340</v>
      </c>
      <c r="D699">
        <f t="shared" si="20"/>
        <v>17</v>
      </c>
      <c r="E699" t="s">
        <v>2</v>
      </c>
      <c r="F699" t="s">
        <v>3</v>
      </c>
      <c r="G699" t="s">
        <v>40</v>
      </c>
      <c r="H699" t="s">
        <v>49</v>
      </c>
      <c r="I699" t="s">
        <v>50</v>
      </c>
      <c r="J699" t="s">
        <v>7</v>
      </c>
      <c r="K699" t="s">
        <v>107</v>
      </c>
      <c r="L699" t="s">
        <v>1275</v>
      </c>
      <c r="M699" t="s">
        <v>53</v>
      </c>
      <c r="N699" t="s">
        <v>30</v>
      </c>
      <c r="O699">
        <v>45</v>
      </c>
      <c r="P699" t="s">
        <v>31</v>
      </c>
      <c r="Q699" t="s">
        <v>436</v>
      </c>
      <c r="R699" t="s">
        <v>437</v>
      </c>
      <c r="S699" t="s">
        <v>178</v>
      </c>
      <c r="T699" t="s">
        <v>35</v>
      </c>
      <c r="U699">
        <v>3</v>
      </c>
      <c r="V699">
        <v>66</v>
      </c>
      <c r="W699">
        <v>165</v>
      </c>
      <c r="X699">
        <v>10</v>
      </c>
      <c r="Y699">
        <v>445.5</v>
      </c>
      <c r="Z699">
        <v>247.5</v>
      </c>
      <c r="AA699" t="s">
        <v>43</v>
      </c>
      <c r="AB699" t="s">
        <v>129</v>
      </c>
      <c r="AC699">
        <v>3</v>
      </c>
      <c r="AD699" t="s">
        <v>19</v>
      </c>
      <c r="AE699" t="s">
        <v>20</v>
      </c>
      <c r="AF699" t="str">
        <f t="shared" si="21"/>
        <v>Yes</v>
      </c>
    </row>
    <row r="700" spans="1:32" x14ac:dyDescent="0.3">
      <c r="A700" t="s">
        <v>1276</v>
      </c>
      <c r="B700" s="1">
        <v>45733</v>
      </c>
      <c r="C700" t="s">
        <v>388</v>
      </c>
      <c r="D700">
        <f t="shared" si="20"/>
        <v>19</v>
      </c>
      <c r="E700" t="s">
        <v>72</v>
      </c>
      <c r="F700" t="s">
        <v>3</v>
      </c>
      <c r="G700" t="s">
        <v>23</v>
      </c>
      <c r="H700" t="s">
        <v>5</v>
      </c>
      <c r="I700" t="s">
        <v>6</v>
      </c>
      <c r="J700" t="s">
        <v>7</v>
      </c>
      <c r="K700" t="s">
        <v>311</v>
      </c>
      <c r="L700" t="s">
        <v>975</v>
      </c>
      <c r="M700" t="s">
        <v>162</v>
      </c>
      <c r="N700" t="s">
        <v>30</v>
      </c>
      <c r="O700">
        <v>40</v>
      </c>
      <c r="P700" t="s">
        <v>12</v>
      </c>
      <c r="Q700" t="s">
        <v>103</v>
      </c>
      <c r="R700" t="s">
        <v>104</v>
      </c>
      <c r="S700" t="s">
        <v>94</v>
      </c>
      <c r="T700" t="s">
        <v>35</v>
      </c>
      <c r="U700">
        <v>4</v>
      </c>
      <c r="V700">
        <v>57</v>
      </c>
      <c r="W700">
        <v>159.6</v>
      </c>
      <c r="X700">
        <v>5</v>
      </c>
      <c r="Y700">
        <v>606.48</v>
      </c>
      <c r="Z700">
        <v>378.48</v>
      </c>
      <c r="AA700" t="s">
        <v>36</v>
      </c>
      <c r="AB700" t="s">
        <v>37</v>
      </c>
      <c r="AC700">
        <v>4</v>
      </c>
      <c r="AD700" t="s">
        <v>105</v>
      </c>
      <c r="AE700" t="s">
        <v>20</v>
      </c>
      <c r="AF700" t="str">
        <f t="shared" si="21"/>
        <v>Yes</v>
      </c>
    </row>
    <row r="701" spans="1:32" x14ac:dyDescent="0.3">
      <c r="A701" t="s">
        <v>1277</v>
      </c>
      <c r="B701" s="1">
        <v>45832</v>
      </c>
      <c r="C701" t="s">
        <v>214</v>
      </c>
      <c r="D701">
        <f t="shared" si="20"/>
        <v>7</v>
      </c>
      <c r="E701" t="s">
        <v>131</v>
      </c>
      <c r="F701" t="s">
        <v>48</v>
      </c>
      <c r="G701" t="s">
        <v>181</v>
      </c>
      <c r="H701" t="s">
        <v>5</v>
      </c>
      <c r="I701" t="s">
        <v>6</v>
      </c>
      <c r="J701" t="s">
        <v>7</v>
      </c>
      <c r="K701" t="s">
        <v>138</v>
      </c>
      <c r="L701" t="s">
        <v>284</v>
      </c>
      <c r="M701" t="s">
        <v>10</v>
      </c>
      <c r="N701" t="s">
        <v>11</v>
      </c>
      <c r="O701">
        <v>37</v>
      </c>
      <c r="P701" t="s">
        <v>54</v>
      </c>
      <c r="Q701" t="s">
        <v>85</v>
      </c>
      <c r="R701" t="s">
        <v>86</v>
      </c>
      <c r="S701" t="s">
        <v>34</v>
      </c>
      <c r="T701" t="s">
        <v>16</v>
      </c>
      <c r="U701">
        <v>1</v>
      </c>
      <c r="V701">
        <v>27</v>
      </c>
      <c r="W701">
        <v>81</v>
      </c>
      <c r="X701">
        <v>5</v>
      </c>
      <c r="Y701">
        <v>76.95</v>
      </c>
      <c r="Z701">
        <v>49.95</v>
      </c>
      <c r="AA701" t="s">
        <v>36</v>
      </c>
      <c r="AB701" t="s">
        <v>119</v>
      </c>
      <c r="AC701">
        <v>4</v>
      </c>
      <c r="AD701" t="s">
        <v>105</v>
      </c>
      <c r="AE701" t="s">
        <v>95</v>
      </c>
      <c r="AF701" t="str">
        <f t="shared" si="21"/>
        <v>No</v>
      </c>
    </row>
    <row r="702" spans="1:32" x14ac:dyDescent="0.3">
      <c r="A702" t="s">
        <v>1278</v>
      </c>
      <c r="B702" s="1">
        <v>45664</v>
      </c>
      <c r="C702" t="s">
        <v>373</v>
      </c>
      <c r="D702">
        <f t="shared" si="20"/>
        <v>9</v>
      </c>
      <c r="E702" t="s">
        <v>2</v>
      </c>
      <c r="F702" t="s">
        <v>3</v>
      </c>
      <c r="G702" t="s">
        <v>181</v>
      </c>
      <c r="H702" t="s">
        <v>164</v>
      </c>
      <c r="I702" t="s">
        <v>165</v>
      </c>
      <c r="J702" t="s">
        <v>166</v>
      </c>
      <c r="K702" t="s">
        <v>318</v>
      </c>
      <c r="L702" t="s">
        <v>1279</v>
      </c>
      <c r="M702" t="s">
        <v>10</v>
      </c>
      <c r="N702" t="s">
        <v>30</v>
      </c>
      <c r="O702">
        <v>41</v>
      </c>
      <c r="P702" t="s">
        <v>54</v>
      </c>
      <c r="Q702" t="s">
        <v>267</v>
      </c>
      <c r="R702" t="s">
        <v>268</v>
      </c>
      <c r="S702" t="s">
        <v>15</v>
      </c>
      <c r="T702" t="s">
        <v>35</v>
      </c>
      <c r="U702">
        <v>3</v>
      </c>
      <c r="V702">
        <v>87</v>
      </c>
      <c r="W702">
        <v>261</v>
      </c>
      <c r="X702">
        <v>5</v>
      </c>
      <c r="Y702">
        <v>743.85</v>
      </c>
      <c r="Z702">
        <v>482.85</v>
      </c>
      <c r="AA702" t="s">
        <v>69</v>
      </c>
      <c r="AB702" t="s">
        <v>129</v>
      </c>
      <c r="AC702">
        <v>5</v>
      </c>
      <c r="AD702" t="s">
        <v>19</v>
      </c>
      <c r="AE702" t="s">
        <v>20</v>
      </c>
      <c r="AF702" t="str">
        <f t="shared" si="21"/>
        <v>Yes</v>
      </c>
    </row>
    <row r="703" spans="1:32" x14ac:dyDescent="0.3">
      <c r="A703" t="s">
        <v>1280</v>
      </c>
      <c r="B703" s="1">
        <v>45717</v>
      </c>
      <c r="C703" t="s">
        <v>158</v>
      </c>
      <c r="D703">
        <f t="shared" si="20"/>
        <v>8</v>
      </c>
      <c r="E703" t="s">
        <v>72</v>
      </c>
      <c r="F703" t="s">
        <v>3</v>
      </c>
      <c r="G703" t="s">
        <v>132</v>
      </c>
      <c r="H703" t="s">
        <v>5</v>
      </c>
      <c r="I703" t="s">
        <v>6</v>
      </c>
      <c r="J703" t="s">
        <v>7</v>
      </c>
      <c r="K703" t="s">
        <v>114</v>
      </c>
      <c r="L703" t="s">
        <v>816</v>
      </c>
      <c r="M703" t="s">
        <v>29</v>
      </c>
      <c r="N703" t="s">
        <v>11</v>
      </c>
      <c r="O703">
        <v>28</v>
      </c>
      <c r="P703" t="s">
        <v>31</v>
      </c>
      <c r="Q703" t="s">
        <v>409</v>
      </c>
      <c r="R703" t="s">
        <v>410</v>
      </c>
      <c r="S703" t="s">
        <v>237</v>
      </c>
      <c r="T703" t="s">
        <v>16</v>
      </c>
      <c r="U703">
        <v>4</v>
      </c>
      <c r="V703">
        <v>26</v>
      </c>
      <c r="W703">
        <v>78</v>
      </c>
      <c r="X703">
        <v>5</v>
      </c>
      <c r="Y703">
        <v>296.39999999999998</v>
      </c>
      <c r="Z703">
        <v>192.4</v>
      </c>
      <c r="AA703" t="s">
        <v>17</v>
      </c>
      <c r="AB703" t="s">
        <v>119</v>
      </c>
      <c r="AC703">
        <v>5</v>
      </c>
      <c r="AD703" t="s">
        <v>19</v>
      </c>
      <c r="AE703" t="s">
        <v>20</v>
      </c>
      <c r="AF703" t="str">
        <f t="shared" si="21"/>
        <v>Yes</v>
      </c>
    </row>
    <row r="704" spans="1:32" x14ac:dyDescent="0.3">
      <c r="A704" t="s">
        <v>1281</v>
      </c>
      <c r="B704" s="1">
        <v>45790</v>
      </c>
      <c r="C704" t="s">
        <v>554</v>
      </c>
      <c r="D704">
        <f t="shared" si="20"/>
        <v>11</v>
      </c>
      <c r="E704" t="s">
        <v>47</v>
      </c>
      <c r="F704" t="s">
        <v>48</v>
      </c>
      <c r="G704" t="s">
        <v>181</v>
      </c>
      <c r="H704" t="s">
        <v>122</v>
      </c>
      <c r="I704" t="s">
        <v>123</v>
      </c>
      <c r="J704" t="s">
        <v>7</v>
      </c>
      <c r="K704" t="s">
        <v>146</v>
      </c>
      <c r="L704" t="s">
        <v>400</v>
      </c>
      <c r="M704" t="s">
        <v>169</v>
      </c>
      <c r="N704" t="s">
        <v>30</v>
      </c>
      <c r="O704">
        <v>38</v>
      </c>
      <c r="P704" t="s">
        <v>12</v>
      </c>
      <c r="Q704" t="s">
        <v>252</v>
      </c>
      <c r="R704" t="s">
        <v>253</v>
      </c>
      <c r="S704" t="s">
        <v>178</v>
      </c>
      <c r="T704" t="s">
        <v>35</v>
      </c>
      <c r="U704">
        <v>4</v>
      </c>
      <c r="V704">
        <v>82</v>
      </c>
      <c r="W704">
        <v>205</v>
      </c>
      <c r="X704">
        <v>10</v>
      </c>
      <c r="Y704">
        <v>738</v>
      </c>
      <c r="Z704">
        <v>410</v>
      </c>
      <c r="AA704" t="s">
        <v>179</v>
      </c>
      <c r="AB704" t="s">
        <v>119</v>
      </c>
      <c r="AD704" t="s">
        <v>19</v>
      </c>
      <c r="AE704" t="s">
        <v>20</v>
      </c>
      <c r="AF704" t="str">
        <f t="shared" si="21"/>
        <v>Yes</v>
      </c>
    </row>
    <row r="705" spans="1:32" x14ac:dyDescent="0.3">
      <c r="A705" t="s">
        <v>1282</v>
      </c>
      <c r="B705" s="1">
        <v>45722</v>
      </c>
      <c r="C705" t="s">
        <v>345</v>
      </c>
      <c r="D705">
        <f t="shared" si="20"/>
        <v>18</v>
      </c>
      <c r="E705" t="s">
        <v>72</v>
      </c>
      <c r="F705" t="s">
        <v>3</v>
      </c>
      <c r="G705" t="s">
        <v>98</v>
      </c>
      <c r="H705" t="s">
        <v>122</v>
      </c>
      <c r="I705" t="s">
        <v>123</v>
      </c>
      <c r="J705" t="s">
        <v>7</v>
      </c>
      <c r="K705" t="s">
        <v>270</v>
      </c>
      <c r="L705" t="s">
        <v>400</v>
      </c>
      <c r="M705" t="s">
        <v>261</v>
      </c>
      <c r="N705" t="s">
        <v>11</v>
      </c>
      <c r="O705">
        <v>32</v>
      </c>
      <c r="P705" t="s">
        <v>12</v>
      </c>
      <c r="Q705" t="s">
        <v>109</v>
      </c>
      <c r="R705" t="s">
        <v>110</v>
      </c>
      <c r="S705" t="s">
        <v>111</v>
      </c>
      <c r="T705" t="s">
        <v>16</v>
      </c>
      <c r="U705">
        <v>4</v>
      </c>
      <c r="V705">
        <v>83</v>
      </c>
      <c r="W705">
        <v>182.6</v>
      </c>
      <c r="X705">
        <v>10</v>
      </c>
      <c r="Y705">
        <v>657.36</v>
      </c>
      <c r="Z705">
        <v>325.36</v>
      </c>
      <c r="AA705" t="s">
        <v>69</v>
      </c>
      <c r="AB705" t="s">
        <v>37</v>
      </c>
      <c r="AC705">
        <v>3</v>
      </c>
      <c r="AD705" t="s">
        <v>19</v>
      </c>
      <c r="AE705" t="s">
        <v>20</v>
      </c>
      <c r="AF705" t="str">
        <f t="shared" si="21"/>
        <v>Yes</v>
      </c>
    </row>
    <row r="706" spans="1:32" x14ac:dyDescent="0.3">
      <c r="A706" t="s">
        <v>1283</v>
      </c>
      <c r="B706" s="1">
        <v>45662</v>
      </c>
      <c r="C706" t="s">
        <v>351</v>
      </c>
      <c r="D706">
        <f t="shared" ref="D706:D769" si="22">HOUR(C706)</f>
        <v>9</v>
      </c>
      <c r="E706" t="s">
        <v>2</v>
      </c>
      <c r="F706" t="s">
        <v>3</v>
      </c>
      <c r="G706" t="s">
        <v>4</v>
      </c>
      <c r="H706" t="s">
        <v>122</v>
      </c>
      <c r="I706" t="s">
        <v>123</v>
      </c>
      <c r="J706" t="s">
        <v>7</v>
      </c>
      <c r="K706" t="s">
        <v>41</v>
      </c>
      <c r="L706" t="s">
        <v>1183</v>
      </c>
      <c r="M706" t="s">
        <v>169</v>
      </c>
      <c r="N706" t="s">
        <v>11</v>
      </c>
      <c r="O706">
        <v>27</v>
      </c>
      <c r="P706" t="s">
        <v>91</v>
      </c>
      <c r="Q706" t="s">
        <v>291</v>
      </c>
      <c r="R706" t="s">
        <v>292</v>
      </c>
      <c r="S706" t="s">
        <v>242</v>
      </c>
      <c r="T706" t="s">
        <v>16</v>
      </c>
      <c r="U706">
        <v>1</v>
      </c>
      <c r="V706">
        <v>68</v>
      </c>
      <c r="W706">
        <v>204</v>
      </c>
      <c r="X706">
        <v>10</v>
      </c>
      <c r="Y706">
        <v>183.6</v>
      </c>
      <c r="Z706">
        <v>115.6</v>
      </c>
      <c r="AA706" t="s">
        <v>179</v>
      </c>
      <c r="AB706" t="s">
        <v>119</v>
      </c>
      <c r="AC706">
        <v>4</v>
      </c>
      <c r="AD706" t="s">
        <v>19</v>
      </c>
      <c r="AE706" t="s">
        <v>95</v>
      </c>
      <c r="AF706" t="str">
        <f t="shared" si="21"/>
        <v>No</v>
      </c>
    </row>
    <row r="707" spans="1:32" x14ac:dyDescent="0.3">
      <c r="A707" t="s">
        <v>1284</v>
      </c>
      <c r="B707" s="1">
        <v>45659</v>
      </c>
      <c r="C707" t="s">
        <v>113</v>
      </c>
      <c r="D707">
        <f t="shared" si="22"/>
        <v>8</v>
      </c>
      <c r="E707" t="s">
        <v>2</v>
      </c>
      <c r="F707" t="s">
        <v>3</v>
      </c>
      <c r="G707" t="s">
        <v>98</v>
      </c>
      <c r="H707" t="s">
        <v>159</v>
      </c>
      <c r="I707" t="s">
        <v>160</v>
      </c>
      <c r="J707" t="s">
        <v>161</v>
      </c>
      <c r="K707" t="s">
        <v>138</v>
      </c>
      <c r="L707" t="s">
        <v>1183</v>
      </c>
      <c r="M707" t="s">
        <v>261</v>
      </c>
      <c r="N707" t="s">
        <v>30</v>
      </c>
      <c r="O707">
        <v>37</v>
      </c>
      <c r="P707" t="s">
        <v>31</v>
      </c>
      <c r="Q707" t="s">
        <v>230</v>
      </c>
      <c r="R707" t="s">
        <v>231</v>
      </c>
      <c r="S707" t="s">
        <v>128</v>
      </c>
      <c r="T707" t="s">
        <v>35</v>
      </c>
      <c r="U707">
        <v>2</v>
      </c>
      <c r="V707">
        <v>62</v>
      </c>
      <c r="W707">
        <v>186</v>
      </c>
      <c r="X707">
        <v>5</v>
      </c>
      <c r="Y707">
        <v>353.4</v>
      </c>
      <c r="Z707">
        <v>229.4</v>
      </c>
      <c r="AA707" t="s">
        <v>17</v>
      </c>
      <c r="AB707" t="s">
        <v>129</v>
      </c>
      <c r="AD707" t="s">
        <v>105</v>
      </c>
      <c r="AE707" t="s">
        <v>20</v>
      </c>
      <c r="AF707" t="str">
        <f t="shared" si="21"/>
        <v>Yes</v>
      </c>
    </row>
    <row r="708" spans="1:32" x14ac:dyDescent="0.3">
      <c r="A708" t="s">
        <v>1285</v>
      </c>
      <c r="B708" s="1">
        <v>45676</v>
      </c>
      <c r="C708" t="s">
        <v>46</v>
      </c>
      <c r="D708">
        <f t="shared" si="22"/>
        <v>19</v>
      </c>
      <c r="E708" t="s">
        <v>2</v>
      </c>
      <c r="F708" t="s">
        <v>3</v>
      </c>
      <c r="G708" t="s">
        <v>4</v>
      </c>
      <c r="H708" t="s">
        <v>24</v>
      </c>
      <c r="I708" t="s">
        <v>25</v>
      </c>
      <c r="J708" t="s">
        <v>26</v>
      </c>
      <c r="K708" t="s">
        <v>323</v>
      </c>
      <c r="L708" t="s">
        <v>331</v>
      </c>
      <c r="M708" t="s">
        <v>162</v>
      </c>
      <c r="N708" t="s">
        <v>11</v>
      </c>
      <c r="O708">
        <v>25</v>
      </c>
      <c r="P708" t="s">
        <v>91</v>
      </c>
      <c r="Q708" t="s">
        <v>66</v>
      </c>
      <c r="R708" t="s">
        <v>67</v>
      </c>
      <c r="S708" t="s">
        <v>68</v>
      </c>
      <c r="T708" t="s">
        <v>16</v>
      </c>
      <c r="U708">
        <v>2</v>
      </c>
      <c r="V708">
        <v>43</v>
      </c>
      <c r="W708">
        <v>120.4</v>
      </c>
      <c r="X708">
        <v>15</v>
      </c>
      <c r="Y708">
        <v>204.68</v>
      </c>
      <c r="Z708">
        <v>118.68</v>
      </c>
      <c r="AA708" t="s">
        <v>17</v>
      </c>
      <c r="AB708" t="s">
        <v>87</v>
      </c>
      <c r="AC708">
        <v>5</v>
      </c>
      <c r="AD708" t="s">
        <v>19</v>
      </c>
      <c r="AE708" t="s">
        <v>20</v>
      </c>
      <c r="AF708" t="str">
        <f t="shared" ref="AF708:AF771" si="23">IF(AE708="Completed","Yes",IF(AE708="Cancelled","No","Review"))</f>
        <v>Yes</v>
      </c>
    </row>
    <row r="709" spans="1:32" x14ac:dyDescent="0.3">
      <c r="A709" t="s">
        <v>1286</v>
      </c>
      <c r="B709" s="1">
        <v>45816</v>
      </c>
      <c r="C709" t="s">
        <v>414</v>
      </c>
      <c r="D709">
        <f t="shared" si="22"/>
        <v>17</v>
      </c>
      <c r="E709" t="s">
        <v>131</v>
      </c>
      <c r="F709" t="s">
        <v>48</v>
      </c>
      <c r="G709" t="s">
        <v>4</v>
      </c>
      <c r="H709" t="s">
        <v>61</v>
      </c>
      <c r="I709" t="s">
        <v>62</v>
      </c>
      <c r="J709" t="s">
        <v>7</v>
      </c>
      <c r="K709" t="s">
        <v>27</v>
      </c>
      <c r="L709" t="s">
        <v>514</v>
      </c>
      <c r="M709" t="s">
        <v>184</v>
      </c>
      <c r="N709" t="s">
        <v>11</v>
      </c>
      <c r="O709">
        <v>52</v>
      </c>
      <c r="P709" t="s">
        <v>76</v>
      </c>
      <c r="Q709" t="s">
        <v>370</v>
      </c>
      <c r="R709" t="s">
        <v>371</v>
      </c>
      <c r="S709" t="s">
        <v>111</v>
      </c>
      <c r="T709" t="s">
        <v>35</v>
      </c>
      <c r="U709">
        <v>1</v>
      </c>
      <c r="V709">
        <v>99</v>
      </c>
      <c r="W709">
        <v>247.5</v>
      </c>
      <c r="X709">
        <v>5</v>
      </c>
      <c r="Y709">
        <v>235.12</v>
      </c>
      <c r="Z709">
        <v>136.12</v>
      </c>
      <c r="AA709" t="s">
        <v>17</v>
      </c>
      <c r="AB709" t="s">
        <v>87</v>
      </c>
      <c r="AD709" t="s">
        <v>105</v>
      </c>
      <c r="AE709" t="s">
        <v>20</v>
      </c>
      <c r="AF709" t="str">
        <f t="shared" si="23"/>
        <v>Yes</v>
      </c>
    </row>
    <row r="710" spans="1:32" x14ac:dyDescent="0.3">
      <c r="A710" t="s">
        <v>1287</v>
      </c>
      <c r="B710" s="1">
        <v>45699</v>
      </c>
      <c r="C710" t="s">
        <v>537</v>
      </c>
      <c r="D710">
        <f t="shared" si="22"/>
        <v>8</v>
      </c>
      <c r="E710" t="s">
        <v>145</v>
      </c>
      <c r="F710" t="s">
        <v>3</v>
      </c>
      <c r="G710" t="s">
        <v>181</v>
      </c>
      <c r="H710" t="s">
        <v>81</v>
      </c>
      <c r="I710" t="s">
        <v>82</v>
      </c>
      <c r="J710" t="s">
        <v>7</v>
      </c>
      <c r="K710" t="s">
        <v>107</v>
      </c>
      <c r="L710" t="s">
        <v>702</v>
      </c>
      <c r="M710" t="s">
        <v>184</v>
      </c>
      <c r="N710" t="s">
        <v>11</v>
      </c>
      <c r="O710">
        <v>29</v>
      </c>
      <c r="P710" t="s">
        <v>76</v>
      </c>
      <c r="Q710" t="s">
        <v>390</v>
      </c>
      <c r="R710" t="s">
        <v>391</v>
      </c>
      <c r="S710" t="s">
        <v>172</v>
      </c>
      <c r="T710" t="s">
        <v>16</v>
      </c>
      <c r="U710">
        <v>2</v>
      </c>
      <c r="V710">
        <v>69</v>
      </c>
      <c r="W710">
        <v>193.2</v>
      </c>
      <c r="X710">
        <v>15</v>
      </c>
      <c r="Y710">
        <v>328.44</v>
      </c>
      <c r="Z710">
        <v>190.44</v>
      </c>
      <c r="AA710" t="s">
        <v>43</v>
      </c>
      <c r="AB710" t="s">
        <v>37</v>
      </c>
      <c r="AC710">
        <v>5</v>
      </c>
      <c r="AD710" t="s">
        <v>19</v>
      </c>
      <c r="AE710" t="s">
        <v>95</v>
      </c>
      <c r="AF710" t="str">
        <f t="shared" si="23"/>
        <v>No</v>
      </c>
    </row>
    <row r="711" spans="1:32" x14ac:dyDescent="0.3">
      <c r="A711" t="s">
        <v>1288</v>
      </c>
      <c r="B711" s="1">
        <v>45715</v>
      </c>
      <c r="C711" t="s">
        <v>39</v>
      </c>
      <c r="D711">
        <f t="shared" si="22"/>
        <v>18</v>
      </c>
      <c r="E711" t="s">
        <v>145</v>
      </c>
      <c r="F711" t="s">
        <v>3</v>
      </c>
      <c r="G711" t="s">
        <v>98</v>
      </c>
      <c r="H711" t="s">
        <v>122</v>
      </c>
      <c r="I711" t="s">
        <v>123</v>
      </c>
      <c r="J711" t="s">
        <v>7</v>
      </c>
      <c r="K711" t="s">
        <v>182</v>
      </c>
      <c r="L711" t="s">
        <v>1289</v>
      </c>
      <c r="M711" t="s">
        <v>169</v>
      </c>
      <c r="N711" t="s">
        <v>11</v>
      </c>
      <c r="O711">
        <v>17</v>
      </c>
      <c r="P711" t="s">
        <v>91</v>
      </c>
      <c r="Q711" t="s">
        <v>295</v>
      </c>
      <c r="R711" t="s">
        <v>296</v>
      </c>
      <c r="S711" t="s">
        <v>57</v>
      </c>
      <c r="T711" t="s">
        <v>35</v>
      </c>
      <c r="U711">
        <v>3</v>
      </c>
      <c r="V711">
        <v>62</v>
      </c>
      <c r="W711">
        <v>186</v>
      </c>
      <c r="X711">
        <v>15</v>
      </c>
      <c r="Y711">
        <v>474.3</v>
      </c>
      <c r="Z711">
        <v>288.3</v>
      </c>
      <c r="AA711" t="s">
        <v>36</v>
      </c>
      <c r="AB711" t="s">
        <v>18</v>
      </c>
      <c r="AC711">
        <v>4</v>
      </c>
      <c r="AD711" t="s">
        <v>105</v>
      </c>
      <c r="AE711" t="s">
        <v>95</v>
      </c>
      <c r="AF711" t="str">
        <f t="shared" si="23"/>
        <v>No</v>
      </c>
    </row>
    <row r="712" spans="1:32" x14ac:dyDescent="0.3">
      <c r="A712" t="s">
        <v>1290</v>
      </c>
      <c r="B712" s="1">
        <v>45660</v>
      </c>
      <c r="C712" t="s">
        <v>189</v>
      </c>
      <c r="D712">
        <f t="shared" si="22"/>
        <v>9</v>
      </c>
      <c r="E712" t="s">
        <v>2</v>
      </c>
      <c r="F712" t="s">
        <v>3</v>
      </c>
      <c r="G712" t="s">
        <v>40</v>
      </c>
      <c r="H712" t="s">
        <v>164</v>
      </c>
      <c r="I712" t="s">
        <v>165</v>
      </c>
      <c r="J712" t="s">
        <v>166</v>
      </c>
      <c r="K712" t="s">
        <v>114</v>
      </c>
      <c r="L712" t="s">
        <v>1291</v>
      </c>
      <c r="M712" t="s">
        <v>10</v>
      </c>
      <c r="N712" t="s">
        <v>30</v>
      </c>
      <c r="O712">
        <v>17</v>
      </c>
      <c r="P712" t="s">
        <v>91</v>
      </c>
      <c r="Q712" t="s">
        <v>267</v>
      </c>
      <c r="R712" t="s">
        <v>268</v>
      </c>
      <c r="S712" t="s">
        <v>15</v>
      </c>
      <c r="T712" t="s">
        <v>35</v>
      </c>
      <c r="U712">
        <v>2</v>
      </c>
      <c r="V712">
        <v>87</v>
      </c>
      <c r="W712">
        <v>261</v>
      </c>
      <c r="X712">
        <v>15</v>
      </c>
      <c r="Y712">
        <v>443.7</v>
      </c>
      <c r="Z712">
        <v>269.7</v>
      </c>
      <c r="AA712" t="s">
        <v>43</v>
      </c>
      <c r="AB712" t="s">
        <v>87</v>
      </c>
      <c r="AC712">
        <v>4</v>
      </c>
      <c r="AD712" t="s">
        <v>105</v>
      </c>
      <c r="AE712" t="s">
        <v>20</v>
      </c>
      <c r="AF712" t="str">
        <f t="shared" si="23"/>
        <v>Yes</v>
      </c>
    </row>
    <row r="713" spans="1:32" x14ac:dyDescent="0.3">
      <c r="A713" t="s">
        <v>1292</v>
      </c>
      <c r="B713" s="1">
        <v>45708</v>
      </c>
      <c r="C713" t="s">
        <v>546</v>
      </c>
      <c r="D713">
        <f t="shared" si="22"/>
        <v>21</v>
      </c>
      <c r="E713" t="s">
        <v>145</v>
      </c>
      <c r="F713" t="s">
        <v>3</v>
      </c>
      <c r="G713" t="s">
        <v>98</v>
      </c>
      <c r="H713" t="s">
        <v>49</v>
      </c>
      <c r="I713" t="s">
        <v>50</v>
      </c>
      <c r="J713" t="s">
        <v>7</v>
      </c>
      <c r="K713" t="s">
        <v>182</v>
      </c>
      <c r="L713" t="s">
        <v>1293</v>
      </c>
      <c r="M713" t="s">
        <v>169</v>
      </c>
      <c r="N713" t="s">
        <v>30</v>
      </c>
      <c r="O713">
        <v>64</v>
      </c>
      <c r="P713" t="s">
        <v>54</v>
      </c>
      <c r="Q713" t="s">
        <v>436</v>
      </c>
      <c r="R713" t="s">
        <v>437</v>
      </c>
      <c r="S713" t="s">
        <v>178</v>
      </c>
      <c r="T713" t="s">
        <v>35</v>
      </c>
      <c r="U713">
        <v>1</v>
      </c>
      <c r="V713">
        <v>66</v>
      </c>
      <c r="W713">
        <v>165</v>
      </c>
      <c r="X713">
        <v>10</v>
      </c>
      <c r="Y713">
        <v>148.5</v>
      </c>
      <c r="Z713">
        <v>82.5</v>
      </c>
      <c r="AA713" t="s">
        <v>179</v>
      </c>
      <c r="AB713" t="s">
        <v>129</v>
      </c>
      <c r="AC713">
        <v>5</v>
      </c>
      <c r="AD713" t="s">
        <v>19</v>
      </c>
      <c r="AE713" t="s">
        <v>20</v>
      </c>
      <c r="AF713" t="str">
        <f t="shared" si="23"/>
        <v>Yes</v>
      </c>
    </row>
    <row r="714" spans="1:32" x14ac:dyDescent="0.3">
      <c r="A714" t="s">
        <v>1294</v>
      </c>
      <c r="B714" s="1">
        <v>45834</v>
      </c>
      <c r="C714" t="s">
        <v>89</v>
      </c>
      <c r="D714">
        <f t="shared" si="22"/>
        <v>13</v>
      </c>
      <c r="E714" t="s">
        <v>131</v>
      </c>
      <c r="F714" t="s">
        <v>48</v>
      </c>
      <c r="G714" t="s">
        <v>98</v>
      </c>
      <c r="H714" t="s">
        <v>159</v>
      </c>
      <c r="I714" t="s">
        <v>160</v>
      </c>
      <c r="J714" t="s">
        <v>161</v>
      </c>
      <c r="K714" t="s">
        <v>83</v>
      </c>
      <c r="L714" t="s">
        <v>1246</v>
      </c>
      <c r="M714" t="s">
        <v>10</v>
      </c>
      <c r="N714" t="s">
        <v>30</v>
      </c>
      <c r="O714">
        <v>64</v>
      </c>
      <c r="P714" t="s">
        <v>54</v>
      </c>
      <c r="Q714" t="s">
        <v>295</v>
      </c>
      <c r="R714" t="s">
        <v>296</v>
      </c>
      <c r="S714" t="s">
        <v>57</v>
      </c>
      <c r="T714" t="s">
        <v>35</v>
      </c>
      <c r="U714">
        <v>2</v>
      </c>
      <c r="V714">
        <v>62</v>
      </c>
      <c r="W714">
        <v>186</v>
      </c>
      <c r="X714">
        <v>5</v>
      </c>
      <c r="Y714">
        <v>353.4</v>
      </c>
      <c r="Z714">
        <v>229.4</v>
      </c>
      <c r="AA714" t="s">
        <v>17</v>
      </c>
      <c r="AB714" t="s">
        <v>37</v>
      </c>
      <c r="AC714">
        <v>5</v>
      </c>
      <c r="AD714" t="s">
        <v>105</v>
      </c>
      <c r="AE714" t="s">
        <v>95</v>
      </c>
      <c r="AF714" t="str">
        <f t="shared" si="23"/>
        <v>No</v>
      </c>
    </row>
    <row r="715" spans="1:32" x14ac:dyDescent="0.3">
      <c r="A715" t="s">
        <v>1295</v>
      </c>
      <c r="B715" s="1">
        <v>45751</v>
      </c>
      <c r="C715" t="s">
        <v>407</v>
      </c>
      <c r="D715">
        <f t="shared" si="22"/>
        <v>8</v>
      </c>
      <c r="E715" t="s">
        <v>60</v>
      </c>
      <c r="F715" t="s">
        <v>48</v>
      </c>
      <c r="G715" t="s">
        <v>40</v>
      </c>
      <c r="H715" t="s">
        <v>164</v>
      </c>
      <c r="I715" t="s">
        <v>165</v>
      </c>
      <c r="J715" t="s">
        <v>166</v>
      </c>
      <c r="K715" t="s">
        <v>311</v>
      </c>
      <c r="L715" t="s">
        <v>645</v>
      </c>
      <c r="M715" t="s">
        <v>169</v>
      </c>
      <c r="N715" t="s">
        <v>11</v>
      </c>
      <c r="O715">
        <v>61</v>
      </c>
      <c r="P715" t="s">
        <v>76</v>
      </c>
      <c r="Q715" t="s">
        <v>204</v>
      </c>
      <c r="R715" t="s">
        <v>205</v>
      </c>
      <c r="S715" t="s">
        <v>118</v>
      </c>
      <c r="T715" t="s">
        <v>35</v>
      </c>
      <c r="U715">
        <v>4</v>
      </c>
      <c r="V715">
        <v>59</v>
      </c>
      <c r="W715">
        <v>177</v>
      </c>
      <c r="X715">
        <v>0</v>
      </c>
      <c r="Y715">
        <v>708</v>
      </c>
      <c r="Z715">
        <v>472</v>
      </c>
      <c r="AA715" t="s">
        <v>179</v>
      </c>
      <c r="AB715" t="s">
        <v>129</v>
      </c>
      <c r="AC715">
        <v>4</v>
      </c>
      <c r="AD715" t="s">
        <v>105</v>
      </c>
      <c r="AE715" t="s">
        <v>20</v>
      </c>
      <c r="AF715" t="str">
        <f t="shared" si="23"/>
        <v>Yes</v>
      </c>
    </row>
    <row r="716" spans="1:32" x14ac:dyDescent="0.3">
      <c r="A716" t="s">
        <v>1296</v>
      </c>
      <c r="B716" s="1">
        <v>45695</v>
      </c>
      <c r="C716" t="s">
        <v>158</v>
      </c>
      <c r="D716">
        <f t="shared" si="22"/>
        <v>8</v>
      </c>
      <c r="E716" t="s">
        <v>145</v>
      </c>
      <c r="F716" t="s">
        <v>3</v>
      </c>
      <c r="G716" t="s">
        <v>40</v>
      </c>
      <c r="H716" t="s">
        <v>122</v>
      </c>
      <c r="I716" t="s">
        <v>123</v>
      </c>
      <c r="J716" t="s">
        <v>7</v>
      </c>
      <c r="K716" t="s">
        <v>346</v>
      </c>
      <c r="L716" t="s">
        <v>972</v>
      </c>
      <c r="M716" t="s">
        <v>10</v>
      </c>
      <c r="N716" t="s">
        <v>11</v>
      </c>
      <c r="O716">
        <v>26</v>
      </c>
      <c r="P716" t="s">
        <v>54</v>
      </c>
      <c r="Q716" t="s">
        <v>431</v>
      </c>
      <c r="R716" t="s">
        <v>432</v>
      </c>
      <c r="S716" t="s">
        <v>172</v>
      </c>
      <c r="T716" t="s">
        <v>35</v>
      </c>
      <c r="U716">
        <v>4</v>
      </c>
      <c r="V716">
        <v>77</v>
      </c>
      <c r="W716">
        <v>192.5</v>
      </c>
      <c r="X716">
        <v>0</v>
      </c>
      <c r="Y716">
        <v>770</v>
      </c>
      <c r="Z716">
        <v>462</v>
      </c>
      <c r="AA716" t="s">
        <v>69</v>
      </c>
      <c r="AB716" t="s">
        <v>129</v>
      </c>
      <c r="AC716">
        <v>4</v>
      </c>
      <c r="AD716" t="s">
        <v>105</v>
      </c>
      <c r="AE716" t="s">
        <v>20</v>
      </c>
      <c r="AF716" t="str">
        <f t="shared" si="23"/>
        <v>Yes</v>
      </c>
    </row>
    <row r="717" spans="1:32" x14ac:dyDescent="0.3">
      <c r="A717" t="s">
        <v>1297</v>
      </c>
      <c r="B717" s="1">
        <v>45779</v>
      </c>
      <c r="C717" t="s">
        <v>276</v>
      </c>
      <c r="D717">
        <f t="shared" si="22"/>
        <v>13</v>
      </c>
      <c r="E717" t="s">
        <v>47</v>
      </c>
      <c r="F717" t="s">
        <v>48</v>
      </c>
      <c r="G717" t="s">
        <v>40</v>
      </c>
      <c r="H717" t="s">
        <v>164</v>
      </c>
      <c r="I717" t="s">
        <v>165</v>
      </c>
      <c r="J717" t="s">
        <v>166</v>
      </c>
      <c r="K717" t="s">
        <v>107</v>
      </c>
      <c r="L717" t="s">
        <v>904</v>
      </c>
      <c r="M717" t="s">
        <v>261</v>
      </c>
      <c r="N717" t="s">
        <v>11</v>
      </c>
      <c r="O717">
        <v>38</v>
      </c>
      <c r="P717" t="s">
        <v>31</v>
      </c>
      <c r="Q717" t="s">
        <v>364</v>
      </c>
      <c r="R717" t="s">
        <v>365</v>
      </c>
      <c r="S717" t="s">
        <v>187</v>
      </c>
      <c r="T717" t="s">
        <v>35</v>
      </c>
      <c r="U717">
        <v>4</v>
      </c>
      <c r="V717">
        <v>28</v>
      </c>
      <c r="W717">
        <v>84</v>
      </c>
      <c r="X717">
        <v>5</v>
      </c>
      <c r="Y717">
        <v>319.2</v>
      </c>
      <c r="Z717">
        <v>207.2</v>
      </c>
      <c r="AA717" t="s">
        <v>179</v>
      </c>
      <c r="AB717" t="s">
        <v>18</v>
      </c>
      <c r="AC717">
        <v>5</v>
      </c>
      <c r="AD717" t="s">
        <v>105</v>
      </c>
      <c r="AE717" t="s">
        <v>20</v>
      </c>
      <c r="AF717" t="str">
        <f t="shared" si="23"/>
        <v>Yes</v>
      </c>
    </row>
    <row r="718" spans="1:32" x14ac:dyDescent="0.3">
      <c r="A718" t="s">
        <v>1298</v>
      </c>
      <c r="B718" s="1">
        <v>45688</v>
      </c>
      <c r="C718" t="s">
        <v>303</v>
      </c>
      <c r="D718">
        <f t="shared" si="22"/>
        <v>12</v>
      </c>
      <c r="E718" t="s">
        <v>2</v>
      </c>
      <c r="F718" t="s">
        <v>3</v>
      </c>
      <c r="G718" t="s">
        <v>40</v>
      </c>
      <c r="H718" t="s">
        <v>24</v>
      </c>
      <c r="I718" t="s">
        <v>25</v>
      </c>
      <c r="J718" t="s">
        <v>26</v>
      </c>
      <c r="K718" t="s">
        <v>182</v>
      </c>
      <c r="L718" t="s">
        <v>681</v>
      </c>
      <c r="M718" t="s">
        <v>184</v>
      </c>
      <c r="N718" t="s">
        <v>11</v>
      </c>
      <c r="O718">
        <v>53</v>
      </c>
      <c r="P718" t="s">
        <v>54</v>
      </c>
      <c r="Q718" t="s">
        <v>147</v>
      </c>
      <c r="R718" t="s">
        <v>148</v>
      </c>
      <c r="S718" t="s">
        <v>136</v>
      </c>
      <c r="T718" t="s">
        <v>35</v>
      </c>
      <c r="U718">
        <v>1</v>
      </c>
      <c r="V718">
        <v>58</v>
      </c>
      <c r="W718">
        <v>174</v>
      </c>
      <c r="X718">
        <v>0</v>
      </c>
      <c r="Y718">
        <v>174</v>
      </c>
      <c r="Z718">
        <v>116</v>
      </c>
      <c r="AA718" t="s">
        <v>43</v>
      </c>
      <c r="AB718" t="s">
        <v>129</v>
      </c>
      <c r="AC718">
        <v>4</v>
      </c>
      <c r="AD718" t="s">
        <v>105</v>
      </c>
      <c r="AE718" t="s">
        <v>20</v>
      </c>
      <c r="AF718" t="str">
        <f t="shared" si="23"/>
        <v>Yes</v>
      </c>
    </row>
    <row r="719" spans="1:32" x14ac:dyDescent="0.3">
      <c r="A719" t="s">
        <v>1299</v>
      </c>
      <c r="B719" s="1">
        <v>45671</v>
      </c>
      <c r="C719" t="s">
        <v>463</v>
      </c>
      <c r="D719">
        <f t="shared" si="22"/>
        <v>12</v>
      </c>
      <c r="E719" t="s">
        <v>2</v>
      </c>
      <c r="F719" t="s">
        <v>3</v>
      </c>
      <c r="G719" t="s">
        <v>181</v>
      </c>
      <c r="H719" t="s">
        <v>150</v>
      </c>
      <c r="I719" t="s">
        <v>151</v>
      </c>
      <c r="J719" t="s">
        <v>152</v>
      </c>
      <c r="K719" t="s">
        <v>146</v>
      </c>
      <c r="L719" t="s">
        <v>643</v>
      </c>
      <c r="M719" t="s">
        <v>53</v>
      </c>
      <c r="N719" t="s">
        <v>11</v>
      </c>
      <c r="O719">
        <v>54</v>
      </c>
      <c r="P719" t="s">
        <v>91</v>
      </c>
      <c r="Q719" t="s">
        <v>85</v>
      </c>
      <c r="R719" t="s">
        <v>86</v>
      </c>
      <c r="S719" t="s">
        <v>34</v>
      </c>
      <c r="T719" t="s">
        <v>16</v>
      </c>
      <c r="U719">
        <v>1</v>
      </c>
      <c r="V719">
        <v>27</v>
      </c>
      <c r="W719">
        <v>81</v>
      </c>
      <c r="X719">
        <v>15</v>
      </c>
      <c r="Y719">
        <v>68.849999999999994</v>
      </c>
      <c r="Z719">
        <v>41.85</v>
      </c>
      <c r="AA719" t="s">
        <v>69</v>
      </c>
      <c r="AB719" t="s">
        <v>18</v>
      </c>
      <c r="AD719" t="s">
        <v>105</v>
      </c>
      <c r="AE719" t="s">
        <v>20</v>
      </c>
      <c r="AF719" t="str">
        <f t="shared" si="23"/>
        <v>Yes</v>
      </c>
    </row>
    <row r="720" spans="1:32" x14ac:dyDescent="0.3">
      <c r="A720" t="s">
        <v>1300</v>
      </c>
      <c r="B720" s="1">
        <v>45733</v>
      </c>
      <c r="C720" t="s">
        <v>39</v>
      </c>
      <c r="D720">
        <f t="shared" si="22"/>
        <v>18</v>
      </c>
      <c r="E720" t="s">
        <v>72</v>
      </c>
      <c r="F720" t="s">
        <v>3</v>
      </c>
      <c r="G720" t="s">
        <v>23</v>
      </c>
      <c r="H720" t="s">
        <v>61</v>
      </c>
      <c r="I720" t="s">
        <v>62</v>
      </c>
      <c r="J720" t="s">
        <v>7</v>
      </c>
      <c r="K720" t="s">
        <v>27</v>
      </c>
      <c r="L720" t="s">
        <v>450</v>
      </c>
      <c r="M720" t="s">
        <v>225</v>
      </c>
      <c r="N720" t="s">
        <v>30</v>
      </c>
      <c r="O720">
        <v>17</v>
      </c>
      <c r="P720" t="s">
        <v>12</v>
      </c>
      <c r="Q720" t="s">
        <v>13</v>
      </c>
      <c r="R720" t="s">
        <v>14</v>
      </c>
      <c r="S720" t="s">
        <v>15</v>
      </c>
      <c r="T720" t="s">
        <v>16</v>
      </c>
      <c r="U720">
        <v>4</v>
      </c>
      <c r="V720">
        <v>43</v>
      </c>
      <c r="W720">
        <v>129</v>
      </c>
      <c r="X720">
        <v>15</v>
      </c>
      <c r="Y720">
        <v>438.6</v>
      </c>
      <c r="Z720">
        <v>266.60000000000002</v>
      </c>
      <c r="AA720" t="s">
        <v>17</v>
      </c>
      <c r="AB720" t="s">
        <v>119</v>
      </c>
      <c r="AC720">
        <v>4</v>
      </c>
      <c r="AD720" t="s">
        <v>19</v>
      </c>
      <c r="AE720" t="s">
        <v>20</v>
      </c>
      <c r="AF720" t="str">
        <f t="shared" si="23"/>
        <v>Yes</v>
      </c>
    </row>
    <row r="721" spans="1:32" x14ac:dyDescent="0.3">
      <c r="A721" t="s">
        <v>1301</v>
      </c>
      <c r="B721" s="1">
        <v>45792</v>
      </c>
      <c r="C721" t="s">
        <v>189</v>
      </c>
      <c r="D721">
        <f t="shared" si="22"/>
        <v>9</v>
      </c>
      <c r="E721" t="s">
        <v>47</v>
      </c>
      <c r="F721" t="s">
        <v>48</v>
      </c>
      <c r="G721" t="s">
        <v>98</v>
      </c>
      <c r="H721" t="s">
        <v>99</v>
      </c>
      <c r="I721" t="s">
        <v>100</v>
      </c>
      <c r="J721" t="s">
        <v>101</v>
      </c>
      <c r="K721" t="s">
        <v>306</v>
      </c>
      <c r="L721" t="s">
        <v>806</v>
      </c>
      <c r="M721" t="s">
        <v>140</v>
      </c>
      <c r="N721" t="s">
        <v>11</v>
      </c>
      <c r="O721">
        <v>46</v>
      </c>
      <c r="P721" t="s">
        <v>12</v>
      </c>
      <c r="Q721" t="s">
        <v>32</v>
      </c>
      <c r="R721" t="s">
        <v>33</v>
      </c>
      <c r="S721" t="s">
        <v>34</v>
      </c>
      <c r="T721" t="s">
        <v>35</v>
      </c>
      <c r="U721">
        <v>1</v>
      </c>
      <c r="V721">
        <v>83</v>
      </c>
      <c r="W721">
        <v>232.4</v>
      </c>
      <c r="X721">
        <v>10</v>
      </c>
      <c r="Y721">
        <v>209.16</v>
      </c>
      <c r="Z721">
        <v>126.16</v>
      </c>
      <c r="AA721" t="s">
        <v>36</v>
      </c>
      <c r="AB721" t="s">
        <v>18</v>
      </c>
      <c r="AD721" t="s">
        <v>105</v>
      </c>
      <c r="AE721" t="s">
        <v>20</v>
      </c>
      <c r="AF721" t="str">
        <f t="shared" si="23"/>
        <v>Yes</v>
      </c>
    </row>
    <row r="722" spans="1:32" x14ac:dyDescent="0.3">
      <c r="A722" t="s">
        <v>1302</v>
      </c>
      <c r="B722" s="1">
        <v>45729</v>
      </c>
      <c r="C722" t="s">
        <v>259</v>
      </c>
      <c r="D722">
        <f t="shared" si="22"/>
        <v>18</v>
      </c>
      <c r="E722" t="s">
        <v>72</v>
      </c>
      <c r="F722" t="s">
        <v>3</v>
      </c>
      <c r="G722" t="s">
        <v>98</v>
      </c>
      <c r="H722" t="s">
        <v>81</v>
      </c>
      <c r="I722" t="s">
        <v>82</v>
      </c>
      <c r="J722" t="s">
        <v>7</v>
      </c>
      <c r="K722" t="s">
        <v>182</v>
      </c>
      <c r="L722" t="s">
        <v>786</v>
      </c>
      <c r="M722" t="s">
        <v>169</v>
      </c>
      <c r="N722" t="s">
        <v>30</v>
      </c>
      <c r="O722">
        <v>64</v>
      </c>
      <c r="P722" t="s">
        <v>12</v>
      </c>
      <c r="Q722" t="s">
        <v>272</v>
      </c>
      <c r="R722" t="s">
        <v>273</v>
      </c>
      <c r="S722" t="s">
        <v>57</v>
      </c>
      <c r="T722" t="s">
        <v>16</v>
      </c>
      <c r="U722">
        <v>4</v>
      </c>
      <c r="V722">
        <v>55</v>
      </c>
      <c r="W722">
        <v>154</v>
      </c>
      <c r="X722">
        <v>10</v>
      </c>
      <c r="Y722">
        <v>554.4</v>
      </c>
      <c r="Z722">
        <v>334.4</v>
      </c>
      <c r="AA722" t="s">
        <v>69</v>
      </c>
      <c r="AB722" t="s">
        <v>87</v>
      </c>
      <c r="AC722">
        <v>5</v>
      </c>
      <c r="AD722" t="s">
        <v>105</v>
      </c>
      <c r="AE722" t="s">
        <v>95</v>
      </c>
      <c r="AF722" t="str">
        <f t="shared" si="23"/>
        <v>No</v>
      </c>
    </row>
    <row r="723" spans="1:32" x14ac:dyDescent="0.3">
      <c r="A723" t="s">
        <v>1303</v>
      </c>
      <c r="B723" s="1">
        <v>45788</v>
      </c>
      <c r="C723" t="s">
        <v>202</v>
      </c>
      <c r="D723">
        <f t="shared" si="22"/>
        <v>11</v>
      </c>
      <c r="E723" t="s">
        <v>47</v>
      </c>
      <c r="F723" t="s">
        <v>48</v>
      </c>
      <c r="G723" t="s">
        <v>4</v>
      </c>
      <c r="H723" t="s">
        <v>99</v>
      </c>
      <c r="I723" t="s">
        <v>100</v>
      </c>
      <c r="J723" t="s">
        <v>101</v>
      </c>
      <c r="K723" t="s">
        <v>83</v>
      </c>
      <c r="L723" t="s">
        <v>867</v>
      </c>
      <c r="M723" t="s">
        <v>140</v>
      </c>
      <c r="N723" t="s">
        <v>11</v>
      </c>
      <c r="O723">
        <v>31</v>
      </c>
      <c r="P723" t="s">
        <v>91</v>
      </c>
      <c r="Q723" t="s">
        <v>295</v>
      </c>
      <c r="R723" t="s">
        <v>296</v>
      </c>
      <c r="S723" t="s">
        <v>57</v>
      </c>
      <c r="T723" t="s">
        <v>35</v>
      </c>
      <c r="U723">
        <v>4</v>
      </c>
      <c r="V723">
        <v>62</v>
      </c>
      <c r="W723">
        <v>186</v>
      </c>
      <c r="X723">
        <v>0</v>
      </c>
      <c r="Y723">
        <v>744</v>
      </c>
      <c r="Z723">
        <v>496</v>
      </c>
      <c r="AA723" t="s">
        <v>36</v>
      </c>
      <c r="AB723" t="s">
        <v>119</v>
      </c>
      <c r="AC723">
        <v>4</v>
      </c>
      <c r="AD723" t="s">
        <v>105</v>
      </c>
      <c r="AE723" t="s">
        <v>20</v>
      </c>
      <c r="AF723" t="str">
        <f t="shared" si="23"/>
        <v>Yes</v>
      </c>
    </row>
    <row r="724" spans="1:32" x14ac:dyDescent="0.3">
      <c r="A724" t="s">
        <v>1304</v>
      </c>
      <c r="B724" s="1">
        <v>45818</v>
      </c>
      <c r="C724" t="s">
        <v>463</v>
      </c>
      <c r="D724">
        <f t="shared" si="22"/>
        <v>12</v>
      </c>
      <c r="E724" t="s">
        <v>131</v>
      </c>
      <c r="F724" t="s">
        <v>48</v>
      </c>
      <c r="G724" t="s">
        <v>181</v>
      </c>
      <c r="H724" t="s">
        <v>122</v>
      </c>
      <c r="I724" t="s">
        <v>123</v>
      </c>
      <c r="J724" t="s">
        <v>7</v>
      </c>
      <c r="K724" t="s">
        <v>196</v>
      </c>
      <c r="L724" t="s">
        <v>816</v>
      </c>
      <c r="M724" t="s">
        <v>162</v>
      </c>
      <c r="N724" t="s">
        <v>11</v>
      </c>
      <c r="O724">
        <v>60</v>
      </c>
      <c r="P724" t="s">
        <v>12</v>
      </c>
      <c r="Q724" t="s">
        <v>262</v>
      </c>
      <c r="R724" t="s">
        <v>263</v>
      </c>
      <c r="S724" t="s">
        <v>218</v>
      </c>
      <c r="T724" t="s">
        <v>35</v>
      </c>
      <c r="U724">
        <v>1</v>
      </c>
      <c r="V724">
        <v>40</v>
      </c>
      <c r="W724">
        <v>112</v>
      </c>
      <c r="X724">
        <v>15</v>
      </c>
      <c r="Y724">
        <v>95.2</v>
      </c>
      <c r="Z724">
        <v>55.2</v>
      </c>
      <c r="AA724" t="s">
        <v>69</v>
      </c>
      <c r="AB724" t="s">
        <v>18</v>
      </c>
      <c r="AC724">
        <v>5</v>
      </c>
      <c r="AD724" t="s">
        <v>105</v>
      </c>
      <c r="AE724" t="s">
        <v>20</v>
      </c>
      <c r="AF724" t="str">
        <f t="shared" si="23"/>
        <v>Yes</v>
      </c>
    </row>
    <row r="725" spans="1:32" x14ac:dyDescent="0.3">
      <c r="A725" t="s">
        <v>1305</v>
      </c>
      <c r="B725" s="1">
        <v>45746</v>
      </c>
      <c r="C725" t="s">
        <v>113</v>
      </c>
      <c r="D725">
        <f t="shared" si="22"/>
        <v>8</v>
      </c>
      <c r="E725" t="s">
        <v>72</v>
      </c>
      <c r="F725" t="s">
        <v>3</v>
      </c>
      <c r="G725" t="s">
        <v>4</v>
      </c>
      <c r="H725" t="s">
        <v>164</v>
      </c>
      <c r="I725" t="s">
        <v>165</v>
      </c>
      <c r="J725" t="s">
        <v>166</v>
      </c>
      <c r="K725" t="s">
        <v>8</v>
      </c>
      <c r="L725" t="s">
        <v>571</v>
      </c>
      <c r="M725" t="s">
        <v>225</v>
      </c>
      <c r="N725" t="s">
        <v>11</v>
      </c>
      <c r="O725">
        <v>58</v>
      </c>
      <c r="P725" t="s">
        <v>91</v>
      </c>
      <c r="Q725" t="s">
        <v>272</v>
      </c>
      <c r="R725" t="s">
        <v>273</v>
      </c>
      <c r="S725" t="s">
        <v>57</v>
      </c>
      <c r="T725" t="s">
        <v>16</v>
      </c>
      <c r="U725">
        <v>3</v>
      </c>
      <c r="V725">
        <v>55</v>
      </c>
      <c r="W725">
        <v>154</v>
      </c>
      <c r="X725">
        <v>10</v>
      </c>
      <c r="Y725">
        <v>415.8</v>
      </c>
      <c r="Z725">
        <v>250.8</v>
      </c>
      <c r="AA725" t="s">
        <v>36</v>
      </c>
      <c r="AB725" t="s">
        <v>18</v>
      </c>
      <c r="AC725">
        <v>4</v>
      </c>
      <c r="AD725" t="s">
        <v>19</v>
      </c>
      <c r="AE725" t="s">
        <v>20</v>
      </c>
      <c r="AF725" t="str">
        <f t="shared" si="23"/>
        <v>Yes</v>
      </c>
    </row>
    <row r="726" spans="1:32" x14ac:dyDescent="0.3">
      <c r="A726" t="s">
        <v>1306</v>
      </c>
      <c r="B726" s="1">
        <v>45686</v>
      </c>
      <c r="C726" t="s">
        <v>80</v>
      </c>
      <c r="D726">
        <f t="shared" si="22"/>
        <v>10</v>
      </c>
      <c r="E726" t="s">
        <v>2</v>
      </c>
      <c r="F726" t="s">
        <v>3</v>
      </c>
      <c r="G726" t="s">
        <v>73</v>
      </c>
      <c r="H726" t="s">
        <v>159</v>
      </c>
      <c r="I726" t="s">
        <v>160</v>
      </c>
      <c r="J726" t="s">
        <v>161</v>
      </c>
      <c r="K726" t="s">
        <v>124</v>
      </c>
      <c r="L726" t="s">
        <v>681</v>
      </c>
      <c r="M726" t="s">
        <v>53</v>
      </c>
      <c r="N726" t="s">
        <v>11</v>
      </c>
      <c r="O726">
        <v>45</v>
      </c>
      <c r="P726" t="s">
        <v>54</v>
      </c>
      <c r="Q726" t="s">
        <v>141</v>
      </c>
      <c r="R726" t="s">
        <v>142</v>
      </c>
      <c r="S726" t="s">
        <v>111</v>
      </c>
      <c r="T726" t="s">
        <v>16</v>
      </c>
      <c r="U726">
        <v>4</v>
      </c>
      <c r="V726">
        <v>35</v>
      </c>
      <c r="W726">
        <v>77</v>
      </c>
      <c r="X726">
        <v>5</v>
      </c>
      <c r="Y726">
        <v>292.60000000000002</v>
      </c>
      <c r="Z726">
        <v>152.6</v>
      </c>
      <c r="AA726" t="s">
        <v>179</v>
      </c>
      <c r="AB726" t="s">
        <v>129</v>
      </c>
      <c r="AC726">
        <v>5</v>
      </c>
      <c r="AD726" t="s">
        <v>105</v>
      </c>
      <c r="AE726" t="s">
        <v>20</v>
      </c>
      <c r="AF726" t="str">
        <f t="shared" si="23"/>
        <v>Yes</v>
      </c>
    </row>
    <row r="727" spans="1:32" x14ac:dyDescent="0.3">
      <c r="A727" t="s">
        <v>1307</v>
      </c>
      <c r="B727" s="1">
        <v>45826</v>
      </c>
      <c r="C727" t="s">
        <v>516</v>
      </c>
      <c r="D727">
        <f t="shared" si="22"/>
        <v>16</v>
      </c>
      <c r="E727" t="s">
        <v>131</v>
      </c>
      <c r="F727" t="s">
        <v>48</v>
      </c>
      <c r="G727" t="s">
        <v>73</v>
      </c>
      <c r="H727" t="s">
        <v>150</v>
      </c>
      <c r="I727" t="s">
        <v>151</v>
      </c>
      <c r="J727" t="s">
        <v>152</v>
      </c>
      <c r="K727" t="s">
        <v>8</v>
      </c>
      <c r="L727" t="s">
        <v>75</v>
      </c>
      <c r="M727" t="s">
        <v>29</v>
      </c>
      <c r="N727" t="s">
        <v>30</v>
      </c>
      <c r="O727">
        <v>63</v>
      </c>
      <c r="P727" t="s">
        <v>31</v>
      </c>
      <c r="Q727" t="s">
        <v>364</v>
      </c>
      <c r="R727" t="s">
        <v>365</v>
      </c>
      <c r="S727" t="s">
        <v>187</v>
      </c>
      <c r="T727" t="s">
        <v>35</v>
      </c>
      <c r="U727">
        <v>2</v>
      </c>
      <c r="V727">
        <v>28</v>
      </c>
      <c r="W727">
        <v>84</v>
      </c>
      <c r="X727">
        <v>5</v>
      </c>
      <c r="Y727">
        <v>159.6</v>
      </c>
      <c r="Z727">
        <v>103.6</v>
      </c>
      <c r="AA727" t="s">
        <v>36</v>
      </c>
      <c r="AB727" t="s">
        <v>129</v>
      </c>
      <c r="AC727">
        <v>5</v>
      </c>
      <c r="AD727" t="s">
        <v>105</v>
      </c>
      <c r="AE727" t="s">
        <v>20</v>
      </c>
      <c r="AF727" t="str">
        <f t="shared" si="23"/>
        <v>Yes</v>
      </c>
    </row>
    <row r="728" spans="1:32" x14ac:dyDescent="0.3">
      <c r="A728" t="s">
        <v>1308</v>
      </c>
      <c r="B728" s="1">
        <v>45798</v>
      </c>
      <c r="C728" t="s">
        <v>189</v>
      </c>
      <c r="D728">
        <f t="shared" si="22"/>
        <v>9</v>
      </c>
      <c r="E728" t="s">
        <v>47</v>
      </c>
      <c r="F728" t="s">
        <v>48</v>
      </c>
      <c r="G728" t="s">
        <v>73</v>
      </c>
      <c r="H728" t="s">
        <v>49</v>
      </c>
      <c r="I728" t="s">
        <v>50</v>
      </c>
      <c r="J728" t="s">
        <v>7</v>
      </c>
      <c r="K728" t="s">
        <v>167</v>
      </c>
      <c r="L728" t="s">
        <v>294</v>
      </c>
      <c r="M728" t="s">
        <v>65</v>
      </c>
      <c r="N728" t="s">
        <v>11</v>
      </c>
      <c r="O728">
        <v>50</v>
      </c>
      <c r="P728" t="s">
        <v>91</v>
      </c>
      <c r="Q728" t="s">
        <v>103</v>
      </c>
      <c r="R728" t="s">
        <v>104</v>
      </c>
      <c r="S728" t="s">
        <v>94</v>
      </c>
      <c r="T728" t="s">
        <v>35</v>
      </c>
      <c r="U728">
        <v>2</v>
      </c>
      <c r="V728">
        <v>57</v>
      </c>
      <c r="W728">
        <v>159.6</v>
      </c>
      <c r="X728">
        <v>10</v>
      </c>
      <c r="Y728">
        <v>287.27999999999997</v>
      </c>
      <c r="Z728">
        <v>173.28</v>
      </c>
      <c r="AA728" t="s">
        <v>17</v>
      </c>
      <c r="AB728" t="s">
        <v>37</v>
      </c>
      <c r="AC728">
        <v>4</v>
      </c>
      <c r="AD728" t="s">
        <v>19</v>
      </c>
      <c r="AE728" t="s">
        <v>20</v>
      </c>
      <c r="AF728" t="str">
        <f t="shared" si="23"/>
        <v>Yes</v>
      </c>
    </row>
    <row r="729" spans="1:32" x14ac:dyDescent="0.3">
      <c r="A729" t="s">
        <v>1309</v>
      </c>
      <c r="B729" s="1">
        <v>45808</v>
      </c>
      <c r="C729" t="s">
        <v>417</v>
      </c>
      <c r="D729">
        <f t="shared" si="22"/>
        <v>16</v>
      </c>
      <c r="E729" t="s">
        <v>47</v>
      </c>
      <c r="F729" t="s">
        <v>48</v>
      </c>
      <c r="G729" t="s">
        <v>132</v>
      </c>
      <c r="H729" t="s">
        <v>49</v>
      </c>
      <c r="I729" t="s">
        <v>50</v>
      </c>
      <c r="J729" t="s">
        <v>7</v>
      </c>
      <c r="K729" t="s">
        <v>270</v>
      </c>
      <c r="L729" t="s">
        <v>825</v>
      </c>
      <c r="M729" t="s">
        <v>169</v>
      </c>
      <c r="N729" t="s">
        <v>30</v>
      </c>
      <c r="O729">
        <v>50</v>
      </c>
      <c r="P729" t="s">
        <v>76</v>
      </c>
      <c r="Q729" t="s">
        <v>431</v>
      </c>
      <c r="R729" t="s">
        <v>432</v>
      </c>
      <c r="S729" t="s">
        <v>172</v>
      </c>
      <c r="T729" t="s">
        <v>35</v>
      </c>
      <c r="U729">
        <v>4</v>
      </c>
      <c r="V729">
        <v>77</v>
      </c>
      <c r="W729">
        <v>192.5</v>
      </c>
      <c r="X729">
        <v>15</v>
      </c>
      <c r="Y729">
        <v>654.5</v>
      </c>
      <c r="Z729">
        <v>346.5</v>
      </c>
      <c r="AA729" t="s">
        <v>69</v>
      </c>
      <c r="AB729" t="s">
        <v>37</v>
      </c>
      <c r="AC729">
        <v>5</v>
      </c>
      <c r="AD729" t="s">
        <v>19</v>
      </c>
      <c r="AE729" t="s">
        <v>20</v>
      </c>
      <c r="AF729" t="str">
        <f t="shared" si="23"/>
        <v>Yes</v>
      </c>
    </row>
    <row r="730" spans="1:32" x14ac:dyDescent="0.3">
      <c r="A730" t="s">
        <v>1310</v>
      </c>
      <c r="B730" s="1">
        <v>45722</v>
      </c>
      <c r="C730" t="s">
        <v>259</v>
      </c>
      <c r="D730">
        <f t="shared" si="22"/>
        <v>18</v>
      </c>
      <c r="E730" t="s">
        <v>72</v>
      </c>
      <c r="F730" t="s">
        <v>3</v>
      </c>
      <c r="G730" t="s">
        <v>98</v>
      </c>
      <c r="H730" t="s">
        <v>164</v>
      </c>
      <c r="I730" t="s">
        <v>165</v>
      </c>
      <c r="J730" t="s">
        <v>166</v>
      </c>
      <c r="K730" t="s">
        <v>63</v>
      </c>
      <c r="L730" t="s">
        <v>532</v>
      </c>
      <c r="M730" t="s">
        <v>29</v>
      </c>
      <c r="N730" t="s">
        <v>11</v>
      </c>
      <c r="O730">
        <v>62</v>
      </c>
      <c r="P730" t="s">
        <v>91</v>
      </c>
      <c r="Q730" t="s">
        <v>211</v>
      </c>
      <c r="R730" t="s">
        <v>212</v>
      </c>
      <c r="S730" t="s">
        <v>128</v>
      </c>
      <c r="T730" t="s">
        <v>16</v>
      </c>
      <c r="U730">
        <v>3</v>
      </c>
      <c r="V730">
        <v>50</v>
      </c>
      <c r="W730">
        <v>140</v>
      </c>
      <c r="X730">
        <v>0</v>
      </c>
      <c r="Y730">
        <v>420</v>
      </c>
      <c r="Z730">
        <v>270</v>
      </c>
      <c r="AA730" t="s">
        <v>69</v>
      </c>
      <c r="AB730" t="s">
        <v>18</v>
      </c>
      <c r="AC730">
        <v>5</v>
      </c>
      <c r="AD730" t="s">
        <v>105</v>
      </c>
      <c r="AE730" t="s">
        <v>20</v>
      </c>
      <c r="AF730" t="str">
        <f t="shared" si="23"/>
        <v>Yes</v>
      </c>
    </row>
    <row r="731" spans="1:32" x14ac:dyDescent="0.3">
      <c r="A731" t="s">
        <v>1311</v>
      </c>
      <c r="B731" s="1">
        <v>45771</v>
      </c>
      <c r="C731" t="s">
        <v>322</v>
      </c>
      <c r="D731">
        <f t="shared" si="22"/>
        <v>10</v>
      </c>
      <c r="E731" t="s">
        <v>60</v>
      </c>
      <c r="F731" t="s">
        <v>48</v>
      </c>
      <c r="G731" t="s">
        <v>98</v>
      </c>
      <c r="H731" t="s">
        <v>164</v>
      </c>
      <c r="I731" t="s">
        <v>165</v>
      </c>
      <c r="J731" t="s">
        <v>166</v>
      </c>
      <c r="K731" t="s">
        <v>311</v>
      </c>
      <c r="L731" t="s">
        <v>801</v>
      </c>
      <c r="M731" t="s">
        <v>184</v>
      </c>
      <c r="N731" t="s">
        <v>30</v>
      </c>
      <c r="O731">
        <v>59</v>
      </c>
      <c r="P731" t="s">
        <v>31</v>
      </c>
      <c r="Q731" t="s">
        <v>55</v>
      </c>
      <c r="R731" t="s">
        <v>56</v>
      </c>
      <c r="S731" t="s">
        <v>57</v>
      </c>
      <c r="T731" t="s">
        <v>35</v>
      </c>
      <c r="U731">
        <v>4</v>
      </c>
      <c r="V731">
        <v>36</v>
      </c>
      <c r="W731">
        <v>79.2</v>
      </c>
      <c r="X731">
        <v>5</v>
      </c>
      <c r="Y731">
        <v>300.95999999999998</v>
      </c>
      <c r="Z731">
        <v>156.96</v>
      </c>
      <c r="AA731" t="s">
        <v>17</v>
      </c>
      <c r="AB731" t="s">
        <v>129</v>
      </c>
      <c r="AC731">
        <v>4</v>
      </c>
      <c r="AD731" t="s">
        <v>105</v>
      </c>
      <c r="AE731" t="s">
        <v>20</v>
      </c>
      <c r="AF731" t="str">
        <f t="shared" si="23"/>
        <v>Yes</v>
      </c>
    </row>
    <row r="732" spans="1:32" x14ac:dyDescent="0.3">
      <c r="A732" t="s">
        <v>1312</v>
      </c>
      <c r="B732" s="1">
        <v>45760</v>
      </c>
      <c r="C732" t="s">
        <v>189</v>
      </c>
      <c r="D732">
        <f t="shared" si="22"/>
        <v>9</v>
      </c>
      <c r="E732" t="s">
        <v>60</v>
      </c>
      <c r="F732" t="s">
        <v>48</v>
      </c>
      <c r="G732" t="s">
        <v>4</v>
      </c>
      <c r="H732" t="s">
        <v>164</v>
      </c>
      <c r="I732" t="s">
        <v>165</v>
      </c>
      <c r="J732" t="s">
        <v>166</v>
      </c>
      <c r="K732" t="s">
        <v>270</v>
      </c>
      <c r="L732" t="s">
        <v>806</v>
      </c>
      <c r="M732" t="s">
        <v>140</v>
      </c>
      <c r="N732" t="s">
        <v>11</v>
      </c>
      <c r="O732">
        <v>18</v>
      </c>
      <c r="P732" t="s">
        <v>91</v>
      </c>
      <c r="Q732" t="s">
        <v>55</v>
      </c>
      <c r="R732" t="s">
        <v>56</v>
      </c>
      <c r="S732" t="s">
        <v>57</v>
      </c>
      <c r="T732" t="s">
        <v>35</v>
      </c>
      <c r="U732">
        <v>1</v>
      </c>
      <c r="V732">
        <v>36</v>
      </c>
      <c r="W732">
        <v>79.2</v>
      </c>
      <c r="X732">
        <v>5</v>
      </c>
      <c r="Y732">
        <v>75.239999999999995</v>
      </c>
      <c r="Z732">
        <v>39.24</v>
      </c>
      <c r="AA732" t="s">
        <v>43</v>
      </c>
      <c r="AB732" t="s">
        <v>37</v>
      </c>
      <c r="AC732">
        <v>3</v>
      </c>
      <c r="AD732" t="s">
        <v>105</v>
      </c>
      <c r="AE732" t="s">
        <v>20</v>
      </c>
      <c r="AF732" t="str">
        <f t="shared" si="23"/>
        <v>Yes</v>
      </c>
    </row>
    <row r="733" spans="1:32" x14ac:dyDescent="0.3">
      <c r="A733" t="s">
        <v>1313</v>
      </c>
      <c r="B733" s="1">
        <v>45782</v>
      </c>
      <c r="C733" t="s">
        <v>407</v>
      </c>
      <c r="D733">
        <f t="shared" si="22"/>
        <v>8</v>
      </c>
      <c r="E733" t="s">
        <v>47</v>
      </c>
      <c r="F733" t="s">
        <v>48</v>
      </c>
      <c r="G733" t="s">
        <v>23</v>
      </c>
      <c r="H733" t="s">
        <v>49</v>
      </c>
      <c r="I733" t="s">
        <v>50</v>
      </c>
      <c r="J733" t="s">
        <v>7</v>
      </c>
      <c r="K733" t="s">
        <v>352</v>
      </c>
      <c r="L733" t="s">
        <v>589</v>
      </c>
      <c r="M733" t="s">
        <v>225</v>
      </c>
      <c r="N733" t="s">
        <v>11</v>
      </c>
      <c r="O733">
        <v>32</v>
      </c>
      <c r="P733" t="s">
        <v>76</v>
      </c>
      <c r="Q733" t="s">
        <v>230</v>
      </c>
      <c r="R733" t="s">
        <v>231</v>
      </c>
      <c r="S733" t="s">
        <v>128</v>
      </c>
      <c r="T733" t="s">
        <v>35</v>
      </c>
      <c r="U733">
        <v>3</v>
      </c>
      <c r="V733">
        <v>62</v>
      </c>
      <c r="W733">
        <v>186</v>
      </c>
      <c r="X733">
        <v>10</v>
      </c>
      <c r="Y733">
        <v>502.2</v>
      </c>
      <c r="Z733">
        <v>316.2</v>
      </c>
      <c r="AA733" t="s">
        <v>43</v>
      </c>
      <c r="AB733" t="s">
        <v>18</v>
      </c>
      <c r="AC733">
        <v>5</v>
      </c>
      <c r="AD733" t="s">
        <v>19</v>
      </c>
      <c r="AE733" t="s">
        <v>20</v>
      </c>
      <c r="AF733" t="str">
        <f t="shared" si="23"/>
        <v>Yes</v>
      </c>
    </row>
    <row r="734" spans="1:32" x14ac:dyDescent="0.3">
      <c r="A734" t="s">
        <v>1314</v>
      </c>
      <c r="B734" s="1">
        <v>45672</v>
      </c>
      <c r="C734" t="s">
        <v>340</v>
      </c>
      <c r="D734">
        <f t="shared" si="22"/>
        <v>17</v>
      </c>
      <c r="E734" t="s">
        <v>2</v>
      </c>
      <c r="F734" t="s">
        <v>3</v>
      </c>
      <c r="G734" t="s">
        <v>73</v>
      </c>
      <c r="H734" t="s">
        <v>24</v>
      </c>
      <c r="I734" t="s">
        <v>25</v>
      </c>
      <c r="J734" t="s">
        <v>26</v>
      </c>
      <c r="K734" t="s">
        <v>107</v>
      </c>
      <c r="L734" t="s">
        <v>532</v>
      </c>
      <c r="M734" t="s">
        <v>65</v>
      </c>
      <c r="N734" t="s">
        <v>30</v>
      </c>
      <c r="O734">
        <v>64</v>
      </c>
      <c r="P734" t="s">
        <v>31</v>
      </c>
      <c r="Q734" t="s">
        <v>327</v>
      </c>
      <c r="R734" t="s">
        <v>328</v>
      </c>
      <c r="S734" t="s">
        <v>136</v>
      </c>
      <c r="T734" t="s">
        <v>16</v>
      </c>
      <c r="U734">
        <v>3</v>
      </c>
      <c r="V734">
        <v>73</v>
      </c>
      <c r="W734">
        <v>160.6</v>
      </c>
      <c r="X734">
        <v>0</v>
      </c>
      <c r="Y734">
        <v>481.8</v>
      </c>
      <c r="Z734">
        <v>262.8</v>
      </c>
      <c r="AA734" t="s">
        <v>17</v>
      </c>
      <c r="AB734" t="s">
        <v>87</v>
      </c>
      <c r="AC734">
        <v>3</v>
      </c>
      <c r="AD734" t="s">
        <v>105</v>
      </c>
      <c r="AE734" t="s">
        <v>20</v>
      </c>
      <c r="AF734" t="str">
        <f t="shared" si="23"/>
        <v>Yes</v>
      </c>
    </row>
    <row r="735" spans="1:32" x14ac:dyDescent="0.3">
      <c r="A735" t="s">
        <v>1315</v>
      </c>
      <c r="B735" s="1">
        <v>45702</v>
      </c>
      <c r="C735" t="s">
        <v>414</v>
      </c>
      <c r="D735">
        <f t="shared" si="22"/>
        <v>17</v>
      </c>
      <c r="E735" t="s">
        <v>145</v>
      </c>
      <c r="F735" t="s">
        <v>3</v>
      </c>
      <c r="G735" t="s">
        <v>40</v>
      </c>
      <c r="H735" t="s">
        <v>61</v>
      </c>
      <c r="I735" t="s">
        <v>62</v>
      </c>
      <c r="J735" t="s">
        <v>7</v>
      </c>
      <c r="K735" t="s">
        <v>318</v>
      </c>
      <c r="L735" t="s">
        <v>1036</v>
      </c>
      <c r="M735" t="s">
        <v>65</v>
      </c>
      <c r="N735" t="s">
        <v>11</v>
      </c>
      <c r="O735">
        <v>62</v>
      </c>
      <c r="P735" t="s">
        <v>54</v>
      </c>
      <c r="Q735" t="s">
        <v>77</v>
      </c>
      <c r="R735" t="s">
        <v>78</v>
      </c>
      <c r="S735" t="s">
        <v>68</v>
      </c>
      <c r="T735" t="s">
        <v>16</v>
      </c>
      <c r="U735">
        <v>1</v>
      </c>
      <c r="V735">
        <v>35</v>
      </c>
      <c r="W735">
        <v>105</v>
      </c>
      <c r="X735">
        <v>0</v>
      </c>
      <c r="Y735">
        <v>105</v>
      </c>
      <c r="Z735">
        <v>70</v>
      </c>
      <c r="AA735" t="s">
        <v>36</v>
      </c>
      <c r="AB735" t="s">
        <v>119</v>
      </c>
      <c r="AC735">
        <v>3</v>
      </c>
      <c r="AD735" t="s">
        <v>19</v>
      </c>
      <c r="AE735" t="s">
        <v>95</v>
      </c>
      <c r="AF735" t="str">
        <f t="shared" si="23"/>
        <v>No</v>
      </c>
    </row>
    <row r="736" spans="1:32" x14ac:dyDescent="0.3">
      <c r="A736" t="s">
        <v>1316</v>
      </c>
      <c r="B736" s="1">
        <v>45805</v>
      </c>
      <c r="C736" t="s">
        <v>113</v>
      </c>
      <c r="D736">
        <f t="shared" si="22"/>
        <v>8</v>
      </c>
      <c r="E736" t="s">
        <v>47</v>
      </c>
      <c r="F736" t="s">
        <v>48</v>
      </c>
      <c r="G736" t="s">
        <v>73</v>
      </c>
      <c r="H736" t="s">
        <v>61</v>
      </c>
      <c r="I736" t="s">
        <v>62</v>
      </c>
      <c r="J736" t="s">
        <v>7</v>
      </c>
      <c r="K736" t="s">
        <v>346</v>
      </c>
      <c r="L736" t="s">
        <v>718</v>
      </c>
      <c r="M736" t="s">
        <v>261</v>
      </c>
      <c r="N736" t="s">
        <v>30</v>
      </c>
      <c r="O736">
        <v>46</v>
      </c>
      <c r="P736" t="s">
        <v>54</v>
      </c>
      <c r="Q736" t="s">
        <v>710</v>
      </c>
      <c r="R736" t="s">
        <v>711</v>
      </c>
      <c r="S736" t="s">
        <v>94</v>
      </c>
      <c r="T736" t="s">
        <v>16</v>
      </c>
      <c r="U736">
        <v>3</v>
      </c>
      <c r="V736">
        <v>83</v>
      </c>
      <c r="W736">
        <v>182.6</v>
      </c>
      <c r="X736">
        <v>15</v>
      </c>
      <c r="Y736">
        <v>465.63</v>
      </c>
      <c r="Z736">
        <v>216.63</v>
      </c>
      <c r="AA736" t="s">
        <v>43</v>
      </c>
      <c r="AB736" t="s">
        <v>18</v>
      </c>
      <c r="AC736">
        <v>4</v>
      </c>
      <c r="AD736" t="s">
        <v>19</v>
      </c>
      <c r="AE736" t="s">
        <v>20</v>
      </c>
      <c r="AF736" t="str">
        <f t="shared" si="23"/>
        <v>Yes</v>
      </c>
    </row>
    <row r="737" spans="1:32" x14ac:dyDescent="0.3">
      <c r="A737" t="s">
        <v>1317</v>
      </c>
      <c r="B737" s="1">
        <v>45813</v>
      </c>
      <c r="C737" t="s">
        <v>22</v>
      </c>
      <c r="D737">
        <f t="shared" si="22"/>
        <v>7</v>
      </c>
      <c r="E737" t="s">
        <v>131</v>
      </c>
      <c r="F737" t="s">
        <v>48</v>
      </c>
      <c r="G737" t="s">
        <v>98</v>
      </c>
      <c r="H737" t="s">
        <v>159</v>
      </c>
      <c r="I737" t="s">
        <v>160</v>
      </c>
      <c r="J737" t="s">
        <v>161</v>
      </c>
      <c r="K737" t="s">
        <v>51</v>
      </c>
      <c r="L737" t="s">
        <v>1134</v>
      </c>
      <c r="M737" t="s">
        <v>184</v>
      </c>
      <c r="N737" t="s">
        <v>30</v>
      </c>
      <c r="O737">
        <v>61</v>
      </c>
      <c r="P737" t="s">
        <v>91</v>
      </c>
      <c r="Q737" t="s">
        <v>147</v>
      </c>
      <c r="R737" t="s">
        <v>148</v>
      </c>
      <c r="S737" t="s">
        <v>136</v>
      </c>
      <c r="T737" t="s">
        <v>35</v>
      </c>
      <c r="U737">
        <v>1</v>
      </c>
      <c r="V737">
        <v>58</v>
      </c>
      <c r="W737">
        <v>174</v>
      </c>
      <c r="X737">
        <v>0</v>
      </c>
      <c r="Y737">
        <v>174</v>
      </c>
      <c r="Z737">
        <v>116</v>
      </c>
      <c r="AA737" t="s">
        <v>43</v>
      </c>
      <c r="AB737" t="s">
        <v>18</v>
      </c>
      <c r="AC737">
        <v>4</v>
      </c>
      <c r="AD737" t="s">
        <v>19</v>
      </c>
      <c r="AE737" t="s">
        <v>95</v>
      </c>
      <c r="AF737" t="str">
        <f t="shared" si="23"/>
        <v>No</v>
      </c>
    </row>
    <row r="738" spans="1:32" x14ac:dyDescent="0.3">
      <c r="A738" t="s">
        <v>1318</v>
      </c>
      <c r="B738" s="1">
        <v>45695</v>
      </c>
      <c r="C738" t="s">
        <v>330</v>
      </c>
      <c r="D738">
        <f t="shared" si="22"/>
        <v>14</v>
      </c>
      <c r="E738" t="s">
        <v>145</v>
      </c>
      <c r="F738" t="s">
        <v>3</v>
      </c>
      <c r="G738" t="s">
        <v>40</v>
      </c>
      <c r="H738" t="s">
        <v>159</v>
      </c>
      <c r="I738" t="s">
        <v>160</v>
      </c>
      <c r="J738" t="s">
        <v>161</v>
      </c>
      <c r="K738" t="s">
        <v>41</v>
      </c>
      <c r="L738" t="s">
        <v>75</v>
      </c>
      <c r="M738" t="s">
        <v>10</v>
      </c>
      <c r="N738" t="s">
        <v>30</v>
      </c>
      <c r="O738">
        <v>37</v>
      </c>
      <c r="P738" t="s">
        <v>76</v>
      </c>
      <c r="Q738" t="s">
        <v>364</v>
      </c>
      <c r="R738" t="s">
        <v>365</v>
      </c>
      <c r="S738" t="s">
        <v>187</v>
      </c>
      <c r="T738" t="s">
        <v>35</v>
      </c>
      <c r="U738">
        <v>4</v>
      </c>
      <c r="V738">
        <v>28</v>
      </c>
      <c r="W738">
        <v>84</v>
      </c>
      <c r="X738">
        <v>10</v>
      </c>
      <c r="Y738">
        <v>302.39999999999998</v>
      </c>
      <c r="Z738">
        <v>190.4</v>
      </c>
      <c r="AA738" t="s">
        <v>17</v>
      </c>
      <c r="AB738" t="s">
        <v>18</v>
      </c>
      <c r="AD738" t="s">
        <v>105</v>
      </c>
      <c r="AE738" t="s">
        <v>20</v>
      </c>
      <c r="AF738" t="str">
        <f t="shared" si="23"/>
        <v>Yes</v>
      </c>
    </row>
    <row r="739" spans="1:32" x14ac:dyDescent="0.3">
      <c r="A739" t="s">
        <v>1319</v>
      </c>
      <c r="B739" s="1">
        <v>45709</v>
      </c>
      <c r="C739" t="s">
        <v>233</v>
      </c>
      <c r="D739">
        <f t="shared" si="22"/>
        <v>18</v>
      </c>
      <c r="E739" t="s">
        <v>145</v>
      </c>
      <c r="F739" t="s">
        <v>3</v>
      </c>
      <c r="G739" t="s">
        <v>40</v>
      </c>
      <c r="H739" t="s">
        <v>5</v>
      </c>
      <c r="I739" t="s">
        <v>6</v>
      </c>
      <c r="J739" t="s">
        <v>7</v>
      </c>
      <c r="K739" t="s">
        <v>83</v>
      </c>
      <c r="L739" t="s">
        <v>1320</v>
      </c>
      <c r="M739" t="s">
        <v>169</v>
      </c>
      <c r="N739" t="s">
        <v>11</v>
      </c>
      <c r="O739">
        <v>38</v>
      </c>
      <c r="P739" t="s">
        <v>12</v>
      </c>
      <c r="Q739" t="s">
        <v>374</v>
      </c>
      <c r="R739" t="s">
        <v>375</v>
      </c>
      <c r="S739" t="s">
        <v>57</v>
      </c>
      <c r="T739" t="s">
        <v>16</v>
      </c>
      <c r="U739">
        <v>4</v>
      </c>
      <c r="V739">
        <v>80</v>
      </c>
      <c r="W739">
        <v>200</v>
      </c>
      <c r="X739">
        <v>5</v>
      </c>
      <c r="Y739">
        <v>760</v>
      </c>
      <c r="Z739">
        <v>440</v>
      </c>
      <c r="AA739" t="s">
        <v>43</v>
      </c>
      <c r="AB739" t="s">
        <v>18</v>
      </c>
      <c r="AC739">
        <v>4</v>
      </c>
      <c r="AD739" t="s">
        <v>19</v>
      </c>
      <c r="AE739" t="s">
        <v>20</v>
      </c>
      <c r="AF739" t="str">
        <f t="shared" si="23"/>
        <v>Yes</v>
      </c>
    </row>
    <row r="740" spans="1:32" x14ac:dyDescent="0.3">
      <c r="A740" t="s">
        <v>1321</v>
      </c>
      <c r="B740" s="1">
        <v>45687</v>
      </c>
      <c r="C740" t="s">
        <v>71</v>
      </c>
      <c r="D740">
        <f t="shared" si="22"/>
        <v>10</v>
      </c>
      <c r="E740" t="s">
        <v>2</v>
      </c>
      <c r="F740" t="s">
        <v>3</v>
      </c>
      <c r="G740" t="s">
        <v>98</v>
      </c>
      <c r="H740" t="s">
        <v>61</v>
      </c>
      <c r="I740" t="s">
        <v>62</v>
      </c>
      <c r="J740" t="s">
        <v>7</v>
      </c>
      <c r="K740" t="s">
        <v>229</v>
      </c>
      <c r="L740" t="s">
        <v>239</v>
      </c>
      <c r="M740" t="s">
        <v>29</v>
      </c>
      <c r="N740" t="s">
        <v>11</v>
      </c>
      <c r="O740">
        <v>30</v>
      </c>
      <c r="P740" t="s">
        <v>31</v>
      </c>
      <c r="Q740" t="s">
        <v>204</v>
      </c>
      <c r="R740" t="s">
        <v>205</v>
      </c>
      <c r="S740" t="s">
        <v>118</v>
      </c>
      <c r="T740" t="s">
        <v>35</v>
      </c>
      <c r="U740">
        <v>4</v>
      </c>
      <c r="V740">
        <v>59</v>
      </c>
      <c r="W740">
        <v>177</v>
      </c>
      <c r="X740">
        <v>15</v>
      </c>
      <c r="Y740">
        <v>601.79999999999995</v>
      </c>
      <c r="Z740">
        <v>365.8</v>
      </c>
      <c r="AA740" t="s">
        <v>69</v>
      </c>
      <c r="AB740" t="s">
        <v>37</v>
      </c>
      <c r="AC740">
        <v>3</v>
      </c>
      <c r="AD740" t="s">
        <v>105</v>
      </c>
      <c r="AE740" t="s">
        <v>20</v>
      </c>
      <c r="AF740" t="str">
        <f t="shared" si="23"/>
        <v>Yes</v>
      </c>
    </row>
    <row r="741" spans="1:32" x14ac:dyDescent="0.3">
      <c r="A741" t="s">
        <v>1322</v>
      </c>
      <c r="B741" s="1">
        <v>45693</v>
      </c>
      <c r="C741" t="s">
        <v>22</v>
      </c>
      <c r="D741">
        <f t="shared" si="22"/>
        <v>7</v>
      </c>
      <c r="E741" t="s">
        <v>145</v>
      </c>
      <c r="F741" t="s">
        <v>3</v>
      </c>
      <c r="G741" t="s">
        <v>73</v>
      </c>
      <c r="H741" t="s">
        <v>61</v>
      </c>
      <c r="I741" t="s">
        <v>62</v>
      </c>
      <c r="J741" t="s">
        <v>7</v>
      </c>
      <c r="K741" t="s">
        <v>138</v>
      </c>
      <c r="L741" t="s">
        <v>699</v>
      </c>
      <c r="M741" t="s">
        <v>10</v>
      </c>
      <c r="N741" t="s">
        <v>11</v>
      </c>
      <c r="O741">
        <v>30</v>
      </c>
      <c r="P741" t="s">
        <v>91</v>
      </c>
      <c r="Q741" t="s">
        <v>300</v>
      </c>
      <c r="R741" t="s">
        <v>301</v>
      </c>
      <c r="S741" t="s">
        <v>187</v>
      </c>
      <c r="T741" t="s">
        <v>35</v>
      </c>
      <c r="U741">
        <v>3</v>
      </c>
      <c r="V741">
        <v>86</v>
      </c>
      <c r="W741">
        <v>258</v>
      </c>
      <c r="X741">
        <v>10</v>
      </c>
      <c r="Y741">
        <v>696.6</v>
      </c>
      <c r="Z741">
        <v>438.6</v>
      </c>
      <c r="AA741" t="s">
        <v>69</v>
      </c>
      <c r="AB741" t="s">
        <v>44</v>
      </c>
      <c r="AC741">
        <v>3</v>
      </c>
      <c r="AD741" t="s">
        <v>105</v>
      </c>
      <c r="AE741" t="s">
        <v>20</v>
      </c>
      <c r="AF741" t="str">
        <f t="shared" si="23"/>
        <v>Yes</v>
      </c>
    </row>
    <row r="742" spans="1:32" x14ac:dyDescent="0.3">
      <c r="A742" t="s">
        <v>1323</v>
      </c>
      <c r="B742" s="1">
        <v>45768</v>
      </c>
      <c r="C742" t="s">
        <v>373</v>
      </c>
      <c r="D742">
        <f t="shared" si="22"/>
        <v>9</v>
      </c>
      <c r="E742" t="s">
        <v>60</v>
      </c>
      <c r="F742" t="s">
        <v>48</v>
      </c>
      <c r="G742" t="s">
        <v>23</v>
      </c>
      <c r="H742" t="s">
        <v>99</v>
      </c>
      <c r="I742" t="s">
        <v>100</v>
      </c>
      <c r="J742" t="s">
        <v>101</v>
      </c>
      <c r="K742" t="s">
        <v>323</v>
      </c>
      <c r="L742" t="s">
        <v>386</v>
      </c>
      <c r="M742" t="s">
        <v>53</v>
      </c>
      <c r="N742" t="s">
        <v>30</v>
      </c>
      <c r="O742">
        <v>60</v>
      </c>
      <c r="P742" t="s">
        <v>91</v>
      </c>
      <c r="Q742" t="s">
        <v>141</v>
      </c>
      <c r="R742" t="s">
        <v>142</v>
      </c>
      <c r="S742" t="s">
        <v>111</v>
      </c>
      <c r="T742" t="s">
        <v>16</v>
      </c>
      <c r="U742">
        <v>2</v>
      </c>
      <c r="V742">
        <v>35</v>
      </c>
      <c r="W742">
        <v>77</v>
      </c>
      <c r="X742">
        <v>5</v>
      </c>
      <c r="Y742">
        <v>146.30000000000001</v>
      </c>
      <c r="Z742">
        <v>76.3</v>
      </c>
      <c r="AA742" t="s">
        <v>17</v>
      </c>
      <c r="AB742" t="s">
        <v>119</v>
      </c>
      <c r="AC742">
        <v>4</v>
      </c>
      <c r="AD742" t="s">
        <v>105</v>
      </c>
      <c r="AE742" t="s">
        <v>95</v>
      </c>
      <c r="AF742" t="str">
        <f t="shared" si="23"/>
        <v>No</v>
      </c>
    </row>
    <row r="743" spans="1:32" x14ac:dyDescent="0.3">
      <c r="A743" t="s">
        <v>1324</v>
      </c>
      <c r="B743" s="1">
        <v>45740</v>
      </c>
      <c r="C743" t="s">
        <v>337</v>
      </c>
      <c r="D743">
        <f t="shared" si="22"/>
        <v>17</v>
      </c>
      <c r="E743" t="s">
        <v>72</v>
      </c>
      <c r="F743" t="s">
        <v>3</v>
      </c>
      <c r="G743" t="s">
        <v>23</v>
      </c>
      <c r="H743" t="s">
        <v>150</v>
      </c>
      <c r="I743" t="s">
        <v>151</v>
      </c>
      <c r="J743" t="s">
        <v>152</v>
      </c>
      <c r="K743" t="s">
        <v>63</v>
      </c>
      <c r="L743" t="s">
        <v>645</v>
      </c>
      <c r="M743" t="s">
        <v>29</v>
      </c>
      <c r="N743" t="s">
        <v>30</v>
      </c>
      <c r="O743">
        <v>40</v>
      </c>
      <c r="P743" t="s">
        <v>76</v>
      </c>
      <c r="Q743" t="s">
        <v>55</v>
      </c>
      <c r="R743" t="s">
        <v>56</v>
      </c>
      <c r="S743" t="s">
        <v>57</v>
      </c>
      <c r="T743" t="s">
        <v>35</v>
      </c>
      <c r="U743">
        <v>3</v>
      </c>
      <c r="V743">
        <v>36</v>
      </c>
      <c r="W743">
        <v>79.2</v>
      </c>
      <c r="X743">
        <v>15</v>
      </c>
      <c r="Y743">
        <v>201.96</v>
      </c>
      <c r="Z743">
        <v>93.96</v>
      </c>
      <c r="AA743" t="s">
        <v>36</v>
      </c>
      <c r="AB743" t="s">
        <v>119</v>
      </c>
      <c r="AC743">
        <v>5</v>
      </c>
      <c r="AD743" t="s">
        <v>105</v>
      </c>
      <c r="AE743" t="s">
        <v>95</v>
      </c>
      <c r="AF743" t="str">
        <f t="shared" si="23"/>
        <v>No</v>
      </c>
    </row>
    <row r="744" spans="1:32" x14ac:dyDescent="0.3">
      <c r="A744" t="s">
        <v>1325</v>
      </c>
      <c r="B744" s="1">
        <v>45812</v>
      </c>
      <c r="C744" t="s">
        <v>829</v>
      </c>
      <c r="D744">
        <f t="shared" si="22"/>
        <v>14</v>
      </c>
      <c r="E744" t="s">
        <v>131</v>
      </c>
      <c r="F744" t="s">
        <v>48</v>
      </c>
      <c r="G744" t="s">
        <v>73</v>
      </c>
      <c r="H744" t="s">
        <v>122</v>
      </c>
      <c r="I744" t="s">
        <v>123</v>
      </c>
      <c r="J744" t="s">
        <v>7</v>
      </c>
      <c r="K744" t="s">
        <v>8</v>
      </c>
      <c r="L744" t="s">
        <v>286</v>
      </c>
      <c r="M744" t="s">
        <v>53</v>
      </c>
      <c r="N744" t="s">
        <v>30</v>
      </c>
      <c r="O744">
        <v>59</v>
      </c>
      <c r="P744" t="s">
        <v>31</v>
      </c>
      <c r="Q744" t="s">
        <v>226</v>
      </c>
      <c r="R744" t="s">
        <v>227</v>
      </c>
      <c r="S744" t="s">
        <v>68</v>
      </c>
      <c r="T744" t="s">
        <v>35</v>
      </c>
      <c r="U744">
        <v>3</v>
      </c>
      <c r="V744">
        <v>43</v>
      </c>
      <c r="W744">
        <v>94.6</v>
      </c>
      <c r="X744">
        <v>5</v>
      </c>
      <c r="Y744">
        <v>269.61</v>
      </c>
      <c r="Z744">
        <v>140.61000000000001</v>
      </c>
      <c r="AA744" t="s">
        <v>43</v>
      </c>
      <c r="AB744" t="s">
        <v>37</v>
      </c>
      <c r="AC744">
        <v>3</v>
      </c>
      <c r="AD744" t="s">
        <v>105</v>
      </c>
      <c r="AE744" t="s">
        <v>20</v>
      </c>
      <c r="AF744" t="str">
        <f t="shared" si="23"/>
        <v>Yes</v>
      </c>
    </row>
    <row r="745" spans="1:32" x14ac:dyDescent="0.3">
      <c r="A745" t="s">
        <v>1326</v>
      </c>
      <c r="B745" s="1">
        <v>45743</v>
      </c>
      <c r="C745" t="s">
        <v>189</v>
      </c>
      <c r="D745">
        <f t="shared" si="22"/>
        <v>9</v>
      </c>
      <c r="E745" t="s">
        <v>72</v>
      </c>
      <c r="F745" t="s">
        <v>3</v>
      </c>
      <c r="G745" t="s">
        <v>98</v>
      </c>
      <c r="H745" t="s">
        <v>99</v>
      </c>
      <c r="I745" t="s">
        <v>100</v>
      </c>
      <c r="J745" t="s">
        <v>101</v>
      </c>
      <c r="K745" t="s">
        <v>114</v>
      </c>
      <c r="L745" t="s">
        <v>1252</v>
      </c>
      <c r="M745" t="s">
        <v>53</v>
      </c>
      <c r="N745" t="s">
        <v>11</v>
      </c>
      <c r="O745">
        <v>22</v>
      </c>
      <c r="P745" t="s">
        <v>12</v>
      </c>
      <c r="Q745" t="s">
        <v>141</v>
      </c>
      <c r="R745" t="s">
        <v>142</v>
      </c>
      <c r="S745" t="s">
        <v>111</v>
      </c>
      <c r="T745" t="s">
        <v>16</v>
      </c>
      <c r="U745">
        <v>1</v>
      </c>
      <c r="V745">
        <v>35</v>
      </c>
      <c r="W745">
        <v>77</v>
      </c>
      <c r="X745">
        <v>15</v>
      </c>
      <c r="Y745">
        <v>65.45</v>
      </c>
      <c r="Z745">
        <v>30.45</v>
      </c>
      <c r="AA745" t="s">
        <v>69</v>
      </c>
      <c r="AB745" t="s">
        <v>129</v>
      </c>
      <c r="AC745">
        <v>3</v>
      </c>
      <c r="AD745" t="s">
        <v>105</v>
      </c>
      <c r="AE745" t="s">
        <v>20</v>
      </c>
      <c r="AF745" t="str">
        <f t="shared" si="23"/>
        <v>Yes</v>
      </c>
    </row>
    <row r="746" spans="1:32" x14ac:dyDescent="0.3">
      <c r="A746" t="s">
        <v>1327</v>
      </c>
      <c r="B746" s="1">
        <v>45788</v>
      </c>
      <c r="C746" t="s">
        <v>322</v>
      </c>
      <c r="D746">
        <f t="shared" si="22"/>
        <v>10</v>
      </c>
      <c r="E746" t="s">
        <v>47</v>
      </c>
      <c r="F746" t="s">
        <v>48</v>
      </c>
      <c r="G746" t="s">
        <v>4</v>
      </c>
      <c r="H746" t="s">
        <v>49</v>
      </c>
      <c r="I746" t="s">
        <v>50</v>
      </c>
      <c r="J746" t="s">
        <v>7</v>
      </c>
      <c r="K746" t="s">
        <v>51</v>
      </c>
      <c r="L746" t="s">
        <v>324</v>
      </c>
      <c r="M746" t="s">
        <v>184</v>
      </c>
      <c r="N746" t="s">
        <v>30</v>
      </c>
      <c r="O746">
        <v>21</v>
      </c>
      <c r="P746" t="s">
        <v>31</v>
      </c>
      <c r="Q746" t="s">
        <v>605</v>
      </c>
      <c r="R746" t="s">
        <v>606</v>
      </c>
      <c r="S746" t="s">
        <v>237</v>
      </c>
      <c r="T746" t="s">
        <v>35</v>
      </c>
      <c r="U746">
        <v>2</v>
      </c>
      <c r="V746">
        <v>79</v>
      </c>
      <c r="W746">
        <v>173.8</v>
      </c>
      <c r="X746">
        <v>10</v>
      </c>
      <c r="Y746">
        <v>312.83999999999997</v>
      </c>
      <c r="Z746">
        <v>154.84</v>
      </c>
      <c r="AA746" t="s">
        <v>17</v>
      </c>
      <c r="AB746" t="s">
        <v>87</v>
      </c>
      <c r="AD746" t="s">
        <v>105</v>
      </c>
      <c r="AE746" t="s">
        <v>20</v>
      </c>
      <c r="AF746" t="str">
        <f t="shared" si="23"/>
        <v>Yes</v>
      </c>
    </row>
    <row r="747" spans="1:32" x14ac:dyDescent="0.3">
      <c r="A747" t="s">
        <v>1328</v>
      </c>
      <c r="B747" s="1">
        <v>45688</v>
      </c>
      <c r="C747" t="s">
        <v>59</v>
      </c>
      <c r="D747">
        <f t="shared" si="22"/>
        <v>16</v>
      </c>
      <c r="E747" t="s">
        <v>2</v>
      </c>
      <c r="F747" t="s">
        <v>3</v>
      </c>
      <c r="G747" t="s">
        <v>40</v>
      </c>
      <c r="H747" t="s">
        <v>24</v>
      </c>
      <c r="I747" t="s">
        <v>25</v>
      </c>
      <c r="J747" t="s">
        <v>26</v>
      </c>
      <c r="K747" t="s">
        <v>318</v>
      </c>
      <c r="L747" t="s">
        <v>347</v>
      </c>
      <c r="M747" t="s">
        <v>65</v>
      </c>
      <c r="N747" t="s">
        <v>11</v>
      </c>
      <c r="O747">
        <v>39</v>
      </c>
      <c r="P747" t="s">
        <v>12</v>
      </c>
      <c r="Q747" t="s">
        <v>262</v>
      </c>
      <c r="R747" t="s">
        <v>263</v>
      </c>
      <c r="S747" t="s">
        <v>218</v>
      </c>
      <c r="T747" t="s">
        <v>35</v>
      </c>
      <c r="U747">
        <v>4</v>
      </c>
      <c r="V747">
        <v>40</v>
      </c>
      <c r="W747">
        <v>112</v>
      </c>
      <c r="X747">
        <v>10</v>
      </c>
      <c r="Y747">
        <v>403.2</v>
      </c>
      <c r="Z747">
        <v>243.2</v>
      </c>
      <c r="AA747" t="s">
        <v>69</v>
      </c>
      <c r="AB747" t="s">
        <v>18</v>
      </c>
      <c r="AC747">
        <v>3</v>
      </c>
      <c r="AD747" t="s">
        <v>19</v>
      </c>
      <c r="AE747" t="s">
        <v>95</v>
      </c>
      <c r="AF747" t="str">
        <f t="shared" si="23"/>
        <v>No</v>
      </c>
    </row>
    <row r="748" spans="1:32" x14ac:dyDescent="0.3">
      <c r="A748" t="s">
        <v>1329</v>
      </c>
      <c r="B748" s="1">
        <v>45820</v>
      </c>
      <c r="C748" t="s">
        <v>414</v>
      </c>
      <c r="D748">
        <f t="shared" si="22"/>
        <v>17</v>
      </c>
      <c r="E748" t="s">
        <v>131</v>
      </c>
      <c r="F748" t="s">
        <v>48</v>
      </c>
      <c r="G748" t="s">
        <v>98</v>
      </c>
      <c r="H748" t="s">
        <v>122</v>
      </c>
      <c r="I748" t="s">
        <v>123</v>
      </c>
      <c r="J748" t="s">
        <v>7</v>
      </c>
      <c r="K748" t="s">
        <v>323</v>
      </c>
      <c r="L748" t="s">
        <v>899</v>
      </c>
      <c r="M748" t="s">
        <v>261</v>
      </c>
      <c r="N748" t="s">
        <v>30</v>
      </c>
      <c r="O748">
        <v>62</v>
      </c>
      <c r="P748" t="s">
        <v>54</v>
      </c>
      <c r="Q748" t="s">
        <v>252</v>
      </c>
      <c r="R748" t="s">
        <v>253</v>
      </c>
      <c r="S748" t="s">
        <v>178</v>
      </c>
      <c r="T748" t="s">
        <v>35</v>
      </c>
      <c r="U748">
        <v>3</v>
      </c>
      <c r="V748">
        <v>82</v>
      </c>
      <c r="W748">
        <v>205</v>
      </c>
      <c r="X748">
        <v>5</v>
      </c>
      <c r="Y748">
        <v>584.25</v>
      </c>
      <c r="Z748">
        <v>338.25</v>
      </c>
      <c r="AA748" t="s">
        <v>36</v>
      </c>
      <c r="AB748" t="s">
        <v>129</v>
      </c>
      <c r="AC748">
        <v>4</v>
      </c>
      <c r="AD748" t="s">
        <v>105</v>
      </c>
      <c r="AE748" t="s">
        <v>95</v>
      </c>
      <c r="AF748" t="str">
        <f t="shared" si="23"/>
        <v>No</v>
      </c>
    </row>
    <row r="749" spans="1:32" x14ac:dyDescent="0.3">
      <c r="A749" t="s">
        <v>1330</v>
      </c>
      <c r="B749" s="1">
        <v>45698</v>
      </c>
      <c r="C749" t="s">
        <v>207</v>
      </c>
      <c r="D749">
        <f t="shared" si="22"/>
        <v>20</v>
      </c>
      <c r="E749" t="s">
        <v>145</v>
      </c>
      <c r="F749" t="s">
        <v>3</v>
      </c>
      <c r="G749" t="s">
        <v>23</v>
      </c>
      <c r="H749" t="s">
        <v>99</v>
      </c>
      <c r="I749" t="s">
        <v>100</v>
      </c>
      <c r="J749" t="s">
        <v>101</v>
      </c>
      <c r="K749" t="s">
        <v>74</v>
      </c>
      <c r="L749" t="s">
        <v>1054</v>
      </c>
      <c r="M749" t="s">
        <v>169</v>
      </c>
      <c r="N749" t="s">
        <v>11</v>
      </c>
      <c r="O749">
        <v>41</v>
      </c>
      <c r="P749" t="s">
        <v>76</v>
      </c>
      <c r="Q749" t="s">
        <v>295</v>
      </c>
      <c r="R749" t="s">
        <v>296</v>
      </c>
      <c r="S749" t="s">
        <v>57</v>
      </c>
      <c r="T749" t="s">
        <v>35</v>
      </c>
      <c r="U749">
        <v>3</v>
      </c>
      <c r="V749">
        <v>62</v>
      </c>
      <c r="W749">
        <v>186</v>
      </c>
      <c r="X749">
        <v>15</v>
      </c>
      <c r="Y749">
        <v>474.3</v>
      </c>
      <c r="Z749">
        <v>288.3</v>
      </c>
      <c r="AA749" t="s">
        <v>17</v>
      </c>
      <c r="AB749" t="s">
        <v>44</v>
      </c>
      <c r="AC749">
        <v>4</v>
      </c>
      <c r="AD749" t="s">
        <v>105</v>
      </c>
      <c r="AE749" t="s">
        <v>20</v>
      </c>
      <c r="AF749" t="str">
        <f t="shared" si="23"/>
        <v>Yes</v>
      </c>
    </row>
    <row r="750" spans="1:32" x14ac:dyDescent="0.3">
      <c r="A750" t="s">
        <v>1331</v>
      </c>
      <c r="B750" s="1">
        <v>45789</v>
      </c>
      <c r="C750" t="s">
        <v>144</v>
      </c>
      <c r="D750">
        <f t="shared" si="22"/>
        <v>20</v>
      </c>
      <c r="E750" t="s">
        <v>47</v>
      </c>
      <c r="F750" t="s">
        <v>48</v>
      </c>
      <c r="G750" t="s">
        <v>23</v>
      </c>
      <c r="H750" t="s">
        <v>49</v>
      </c>
      <c r="I750" t="s">
        <v>50</v>
      </c>
      <c r="J750" t="s">
        <v>7</v>
      </c>
      <c r="K750" t="s">
        <v>153</v>
      </c>
      <c r="L750" t="s">
        <v>897</v>
      </c>
      <c r="M750" t="s">
        <v>29</v>
      </c>
      <c r="N750" t="s">
        <v>30</v>
      </c>
      <c r="O750">
        <v>60</v>
      </c>
      <c r="P750" t="s">
        <v>54</v>
      </c>
      <c r="Q750" t="s">
        <v>32</v>
      </c>
      <c r="R750" t="s">
        <v>33</v>
      </c>
      <c r="S750" t="s">
        <v>34</v>
      </c>
      <c r="T750" t="s">
        <v>35</v>
      </c>
      <c r="U750">
        <v>1</v>
      </c>
      <c r="V750">
        <v>83</v>
      </c>
      <c r="W750">
        <v>232.4</v>
      </c>
      <c r="X750">
        <v>10</v>
      </c>
      <c r="Y750">
        <v>209.16</v>
      </c>
      <c r="Z750">
        <v>126.16</v>
      </c>
      <c r="AA750" t="s">
        <v>69</v>
      </c>
      <c r="AB750" t="s">
        <v>119</v>
      </c>
      <c r="AD750" t="s">
        <v>105</v>
      </c>
      <c r="AE750" t="s">
        <v>95</v>
      </c>
      <c r="AF750" t="str">
        <f t="shared" si="23"/>
        <v>No</v>
      </c>
    </row>
    <row r="751" spans="1:32" x14ac:dyDescent="0.3">
      <c r="A751" t="s">
        <v>1332</v>
      </c>
      <c r="B751" s="1">
        <v>45802</v>
      </c>
      <c r="C751" t="s">
        <v>46</v>
      </c>
      <c r="D751">
        <f t="shared" si="22"/>
        <v>19</v>
      </c>
      <c r="E751" t="s">
        <v>47</v>
      </c>
      <c r="F751" t="s">
        <v>48</v>
      </c>
      <c r="G751" t="s">
        <v>4</v>
      </c>
      <c r="H751" t="s">
        <v>159</v>
      </c>
      <c r="I751" t="s">
        <v>160</v>
      </c>
      <c r="J751" t="s">
        <v>161</v>
      </c>
      <c r="K751" t="s">
        <v>51</v>
      </c>
      <c r="L751" t="s">
        <v>966</v>
      </c>
      <c r="M751" t="s">
        <v>169</v>
      </c>
      <c r="N751" t="s">
        <v>11</v>
      </c>
      <c r="O751">
        <v>36</v>
      </c>
      <c r="P751" t="s">
        <v>12</v>
      </c>
      <c r="Q751" t="s">
        <v>506</v>
      </c>
      <c r="R751" t="s">
        <v>507</v>
      </c>
      <c r="S751" t="s">
        <v>118</v>
      </c>
      <c r="T751" t="s">
        <v>16</v>
      </c>
      <c r="U751">
        <v>3</v>
      </c>
      <c r="V751">
        <v>39</v>
      </c>
      <c r="W751">
        <v>109.2</v>
      </c>
      <c r="X751">
        <v>5</v>
      </c>
      <c r="Y751">
        <v>311.22000000000003</v>
      </c>
      <c r="Z751">
        <v>194.22</v>
      </c>
      <c r="AA751" t="s">
        <v>43</v>
      </c>
      <c r="AB751" t="s">
        <v>87</v>
      </c>
      <c r="AC751">
        <v>3</v>
      </c>
      <c r="AD751" t="s">
        <v>19</v>
      </c>
      <c r="AE751" t="s">
        <v>20</v>
      </c>
      <c r="AF751" t="str">
        <f t="shared" si="23"/>
        <v>Yes</v>
      </c>
    </row>
    <row r="752" spans="1:32" x14ac:dyDescent="0.3">
      <c r="A752" t="s">
        <v>1333</v>
      </c>
      <c r="B752" s="1">
        <v>45664</v>
      </c>
      <c r="C752" t="s">
        <v>46</v>
      </c>
      <c r="D752">
        <f t="shared" si="22"/>
        <v>19</v>
      </c>
      <c r="E752" t="s">
        <v>2</v>
      </c>
      <c r="F752" t="s">
        <v>3</v>
      </c>
      <c r="G752" t="s">
        <v>181</v>
      </c>
      <c r="H752" t="s">
        <v>24</v>
      </c>
      <c r="I752" t="s">
        <v>25</v>
      </c>
      <c r="J752" t="s">
        <v>26</v>
      </c>
      <c r="K752" t="s">
        <v>74</v>
      </c>
      <c r="L752" t="s">
        <v>208</v>
      </c>
      <c r="M752" t="s">
        <v>10</v>
      </c>
      <c r="N752" t="s">
        <v>30</v>
      </c>
      <c r="O752">
        <v>35</v>
      </c>
      <c r="P752" t="s">
        <v>12</v>
      </c>
      <c r="Q752" t="s">
        <v>308</v>
      </c>
      <c r="R752" t="s">
        <v>309</v>
      </c>
      <c r="S752" t="s">
        <v>187</v>
      </c>
      <c r="T752" t="s">
        <v>35</v>
      </c>
      <c r="U752">
        <v>4</v>
      </c>
      <c r="V752">
        <v>31</v>
      </c>
      <c r="W752">
        <v>77.5</v>
      </c>
      <c r="X752">
        <v>0</v>
      </c>
      <c r="Y752">
        <v>310</v>
      </c>
      <c r="Z752">
        <v>186</v>
      </c>
      <c r="AA752" t="s">
        <v>36</v>
      </c>
      <c r="AB752" t="s">
        <v>119</v>
      </c>
      <c r="AC752">
        <v>5</v>
      </c>
      <c r="AD752" t="s">
        <v>19</v>
      </c>
      <c r="AE752" t="s">
        <v>20</v>
      </c>
      <c r="AF752" t="str">
        <f t="shared" si="23"/>
        <v>Yes</v>
      </c>
    </row>
    <row r="753" spans="1:32" x14ac:dyDescent="0.3">
      <c r="A753" t="s">
        <v>1334</v>
      </c>
      <c r="B753" s="1">
        <v>45714</v>
      </c>
      <c r="C753" t="s">
        <v>39</v>
      </c>
      <c r="D753">
        <f t="shared" si="22"/>
        <v>18</v>
      </c>
      <c r="E753" t="s">
        <v>145</v>
      </c>
      <c r="F753" t="s">
        <v>3</v>
      </c>
      <c r="G753" t="s">
        <v>73</v>
      </c>
      <c r="H753" t="s">
        <v>122</v>
      </c>
      <c r="I753" t="s">
        <v>123</v>
      </c>
      <c r="J753" t="s">
        <v>7</v>
      </c>
      <c r="K753" t="s">
        <v>124</v>
      </c>
      <c r="L753" t="s">
        <v>1004</v>
      </c>
      <c r="M753" t="s">
        <v>53</v>
      </c>
      <c r="N753" t="s">
        <v>30</v>
      </c>
      <c r="O753">
        <v>31</v>
      </c>
      <c r="P753" t="s">
        <v>91</v>
      </c>
      <c r="Q753" t="s">
        <v>374</v>
      </c>
      <c r="R753" t="s">
        <v>375</v>
      </c>
      <c r="S753" t="s">
        <v>57</v>
      </c>
      <c r="T753" t="s">
        <v>16</v>
      </c>
      <c r="U753">
        <v>2</v>
      </c>
      <c r="V753">
        <v>80</v>
      </c>
      <c r="W753">
        <v>200</v>
      </c>
      <c r="X753">
        <v>5</v>
      </c>
      <c r="Y753">
        <v>380</v>
      </c>
      <c r="Z753">
        <v>220</v>
      </c>
      <c r="AA753" t="s">
        <v>17</v>
      </c>
      <c r="AB753" t="s">
        <v>18</v>
      </c>
      <c r="AC753">
        <v>4</v>
      </c>
      <c r="AD753" t="s">
        <v>19</v>
      </c>
      <c r="AE753" t="s">
        <v>20</v>
      </c>
      <c r="AF753" t="str">
        <f t="shared" si="23"/>
        <v>Yes</v>
      </c>
    </row>
    <row r="754" spans="1:32" x14ac:dyDescent="0.3">
      <c r="A754" t="s">
        <v>1335</v>
      </c>
      <c r="B754" s="1">
        <v>45739</v>
      </c>
      <c r="C754" t="s">
        <v>71</v>
      </c>
      <c r="D754">
        <f t="shared" si="22"/>
        <v>10</v>
      </c>
      <c r="E754" t="s">
        <v>72</v>
      </c>
      <c r="F754" t="s">
        <v>3</v>
      </c>
      <c r="G754" t="s">
        <v>4</v>
      </c>
      <c r="H754" t="s">
        <v>81</v>
      </c>
      <c r="I754" t="s">
        <v>82</v>
      </c>
      <c r="J754" t="s">
        <v>7</v>
      </c>
      <c r="K754" t="s">
        <v>270</v>
      </c>
      <c r="L754" t="s">
        <v>767</v>
      </c>
      <c r="M754" t="s">
        <v>65</v>
      </c>
      <c r="N754" t="s">
        <v>11</v>
      </c>
      <c r="O754">
        <v>24</v>
      </c>
      <c r="P754" t="s">
        <v>54</v>
      </c>
      <c r="Q754" t="s">
        <v>77</v>
      </c>
      <c r="R754" t="s">
        <v>78</v>
      </c>
      <c r="S754" t="s">
        <v>68</v>
      </c>
      <c r="T754" t="s">
        <v>16</v>
      </c>
      <c r="U754">
        <v>1</v>
      </c>
      <c r="V754">
        <v>35</v>
      </c>
      <c r="W754">
        <v>105</v>
      </c>
      <c r="X754">
        <v>0</v>
      </c>
      <c r="Y754">
        <v>105</v>
      </c>
      <c r="Z754">
        <v>70</v>
      </c>
      <c r="AA754" t="s">
        <v>36</v>
      </c>
      <c r="AB754" t="s">
        <v>44</v>
      </c>
      <c r="AC754">
        <v>4</v>
      </c>
      <c r="AD754" t="s">
        <v>105</v>
      </c>
      <c r="AE754" t="s">
        <v>20</v>
      </c>
      <c r="AF754" t="str">
        <f t="shared" si="23"/>
        <v>Yes</v>
      </c>
    </row>
    <row r="755" spans="1:32" x14ac:dyDescent="0.3">
      <c r="A755" t="s">
        <v>1336</v>
      </c>
      <c r="B755" s="1">
        <v>45785</v>
      </c>
      <c r="C755" t="s">
        <v>373</v>
      </c>
      <c r="D755">
        <f t="shared" si="22"/>
        <v>9</v>
      </c>
      <c r="E755" t="s">
        <v>47</v>
      </c>
      <c r="F755" t="s">
        <v>48</v>
      </c>
      <c r="G755" t="s">
        <v>98</v>
      </c>
      <c r="H755" t="s">
        <v>122</v>
      </c>
      <c r="I755" t="s">
        <v>123</v>
      </c>
      <c r="J755" t="s">
        <v>7</v>
      </c>
      <c r="K755" t="s">
        <v>346</v>
      </c>
      <c r="L755" t="s">
        <v>1194</v>
      </c>
      <c r="M755" t="s">
        <v>65</v>
      </c>
      <c r="N755" t="s">
        <v>11</v>
      </c>
      <c r="O755">
        <v>48</v>
      </c>
      <c r="P755" t="s">
        <v>31</v>
      </c>
      <c r="Q755" t="s">
        <v>66</v>
      </c>
      <c r="R755" t="s">
        <v>67</v>
      </c>
      <c r="S755" t="s">
        <v>68</v>
      </c>
      <c r="T755" t="s">
        <v>16</v>
      </c>
      <c r="U755">
        <v>1</v>
      </c>
      <c r="V755">
        <v>43</v>
      </c>
      <c r="W755">
        <v>120.4</v>
      </c>
      <c r="X755">
        <v>15</v>
      </c>
      <c r="Y755">
        <v>102.34</v>
      </c>
      <c r="Z755">
        <v>59.34</v>
      </c>
      <c r="AA755" t="s">
        <v>17</v>
      </c>
      <c r="AB755" t="s">
        <v>129</v>
      </c>
      <c r="AC755">
        <v>4</v>
      </c>
      <c r="AD755" t="s">
        <v>105</v>
      </c>
      <c r="AE755" t="s">
        <v>20</v>
      </c>
      <c r="AF755" t="str">
        <f t="shared" si="23"/>
        <v>Yes</v>
      </c>
    </row>
    <row r="756" spans="1:32" x14ac:dyDescent="0.3">
      <c r="A756" t="s">
        <v>1337</v>
      </c>
      <c r="B756" s="1">
        <v>45677</v>
      </c>
      <c r="C756" t="s">
        <v>537</v>
      </c>
      <c r="D756">
        <f t="shared" si="22"/>
        <v>8</v>
      </c>
      <c r="E756" t="s">
        <v>2</v>
      </c>
      <c r="F756" t="s">
        <v>3</v>
      </c>
      <c r="G756" t="s">
        <v>23</v>
      </c>
      <c r="H756" t="s">
        <v>164</v>
      </c>
      <c r="I756" t="s">
        <v>165</v>
      </c>
      <c r="J756" t="s">
        <v>166</v>
      </c>
      <c r="K756" t="s">
        <v>352</v>
      </c>
      <c r="L756" t="s">
        <v>585</v>
      </c>
      <c r="M756" t="s">
        <v>140</v>
      </c>
      <c r="N756" t="s">
        <v>30</v>
      </c>
      <c r="O756">
        <v>16</v>
      </c>
      <c r="P756" t="s">
        <v>91</v>
      </c>
      <c r="Q756" t="s">
        <v>216</v>
      </c>
      <c r="R756" t="s">
        <v>217</v>
      </c>
      <c r="S756" t="s">
        <v>218</v>
      </c>
      <c r="T756" t="s">
        <v>35</v>
      </c>
      <c r="U756">
        <v>2</v>
      </c>
      <c r="V756">
        <v>67</v>
      </c>
      <c r="W756">
        <v>187.6</v>
      </c>
      <c r="X756">
        <v>10</v>
      </c>
      <c r="Y756">
        <v>337.68</v>
      </c>
      <c r="Z756">
        <v>203.68</v>
      </c>
      <c r="AA756" t="s">
        <v>17</v>
      </c>
      <c r="AB756" t="s">
        <v>129</v>
      </c>
      <c r="AD756" t="s">
        <v>105</v>
      </c>
      <c r="AE756" t="s">
        <v>95</v>
      </c>
      <c r="AF756" t="str">
        <f t="shared" si="23"/>
        <v>No</v>
      </c>
    </row>
    <row r="757" spans="1:32" x14ac:dyDescent="0.3">
      <c r="A757" t="s">
        <v>1338</v>
      </c>
      <c r="B757" s="1">
        <v>45718</v>
      </c>
      <c r="C757" t="s">
        <v>349</v>
      </c>
      <c r="D757">
        <f t="shared" si="22"/>
        <v>21</v>
      </c>
      <c r="E757" t="s">
        <v>72</v>
      </c>
      <c r="F757" t="s">
        <v>3</v>
      </c>
      <c r="G757" t="s">
        <v>4</v>
      </c>
      <c r="H757" t="s">
        <v>99</v>
      </c>
      <c r="I757" t="s">
        <v>100</v>
      </c>
      <c r="J757" t="s">
        <v>101</v>
      </c>
      <c r="K757" t="s">
        <v>196</v>
      </c>
      <c r="L757" t="s">
        <v>1142</v>
      </c>
      <c r="M757" t="s">
        <v>10</v>
      </c>
      <c r="N757" t="s">
        <v>11</v>
      </c>
      <c r="O757">
        <v>36</v>
      </c>
      <c r="P757" t="s">
        <v>91</v>
      </c>
      <c r="Q757" t="s">
        <v>66</v>
      </c>
      <c r="R757" t="s">
        <v>67</v>
      </c>
      <c r="S757" t="s">
        <v>68</v>
      </c>
      <c r="T757" t="s">
        <v>16</v>
      </c>
      <c r="U757">
        <v>4</v>
      </c>
      <c r="V757">
        <v>43</v>
      </c>
      <c r="W757">
        <v>120.4</v>
      </c>
      <c r="X757">
        <v>10</v>
      </c>
      <c r="Y757">
        <v>433.44</v>
      </c>
      <c r="Z757">
        <v>261.44</v>
      </c>
      <c r="AA757" t="s">
        <v>69</v>
      </c>
      <c r="AB757" t="s">
        <v>119</v>
      </c>
      <c r="AD757" t="s">
        <v>105</v>
      </c>
      <c r="AE757" t="s">
        <v>95</v>
      </c>
      <c r="AF757" t="str">
        <f t="shared" si="23"/>
        <v>No</v>
      </c>
    </row>
    <row r="758" spans="1:32" x14ac:dyDescent="0.3">
      <c r="A758" t="s">
        <v>1339</v>
      </c>
      <c r="B758" s="1">
        <v>45724</v>
      </c>
      <c r="C758" t="s">
        <v>189</v>
      </c>
      <c r="D758">
        <f t="shared" si="22"/>
        <v>9</v>
      </c>
      <c r="E758" t="s">
        <v>72</v>
      </c>
      <c r="F758" t="s">
        <v>3</v>
      </c>
      <c r="G758" t="s">
        <v>132</v>
      </c>
      <c r="H758" t="s">
        <v>24</v>
      </c>
      <c r="I758" t="s">
        <v>25</v>
      </c>
      <c r="J758" t="s">
        <v>26</v>
      </c>
      <c r="K758" t="s">
        <v>107</v>
      </c>
      <c r="L758" t="s">
        <v>512</v>
      </c>
      <c r="M758" t="s">
        <v>10</v>
      </c>
      <c r="N758" t="s">
        <v>30</v>
      </c>
      <c r="O758">
        <v>33</v>
      </c>
      <c r="P758" t="s">
        <v>91</v>
      </c>
      <c r="Q758" t="s">
        <v>216</v>
      </c>
      <c r="R758" t="s">
        <v>217</v>
      </c>
      <c r="S758" t="s">
        <v>218</v>
      </c>
      <c r="T758" t="s">
        <v>35</v>
      </c>
      <c r="U758">
        <v>3</v>
      </c>
      <c r="V758">
        <v>67</v>
      </c>
      <c r="W758">
        <v>187.6</v>
      </c>
      <c r="X758">
        <v>15</v>
      </c>
      <c r="Y758">
        <v>478.38</v>
      </c>
      <c r="Z758">
        <v>277.38</v>
      </c>
      <c r="AA758" t="s">
        <v>36</v>
      </c>
      <c r="AB758" t="s">
        <v>129</v>
      </c>
      <c r="AC758">
        <v>4</v>
      </c>
      <c r="AD758" t="s">
        <v>105</v>
      </c>
      <c r="AE758" t="s">
        <v>20</v>
      </c>
      <c r="AF758" t="str">
        <f t="shared" si="23"/>
        <v>Yes</v>
      </c>
    </row>
    <row r="759" spans="1:32" x14ac:dyDescent="0.3">
      <c r="A759" t="s">
        <v>1340</v>
      </c>
      <c r="B759" s="1">
        <v>45797</v>
      </c>
      <c r="C759" t="s">
        <v>337</v>
      </c>
      <c r="D759">
        <f t="shared" si="22"/>
        <v>17</v>
      </c>
      <c r="E759" t="s">
        <v>47</v>
      </c>
      <c r="F759" t="s">
        <v>48</v>
      </c>
      <c r="G759" t="s">
        <v>181</v>
      </c>
      <c r="H759" t="s">
        <v>164</v>
      </c>
      <c r="I759" t="s">
        <v>165</v>
      </c>
      <c r="J759" t="s">
        <v>166</v>
      </c>
      <c r="K759" t="s">
        <v>352</v>
      </c>
      <c r="L759" t="s">
        <v>617</v>
      </c>
      <c r="M759" t="s">
        <v>225</v>
      </c>
      <c r="N759" t="s">
        <v>11</v>
      </c>
      <c r="O759">
        <v>24</v>
      </c>
      <c r="P759" t="s">
        <v>31</v>
      </c>
      <c r="Q759" t="s">
        <v>256</v>
      </c>
      <c r="R759" t="s">
        <v>257</v>
      </c>
      <c r="S759" t="s">
        <v>118</v>
      </c>
      <c r="T759" t="s">
        <v>35</v>
      </c>
      <c r="U759">
        <v>2</v>
      </c>
      <c r="V759">
        <v>30</v>
      </c>
      <c r="W759">
        <v>90</v>
      </c>
      <c r="X759">
        <v>0</v>
      </c>
      <c r="Y759">
        <v>180</v>
      </c>
      <c r="Z759">
        <v>120</v>
      </c>
      <c r="AA759" t="s">
        <v>17</v>
      </c>
      <c r="AB759" t="s">
        <v>119</v>
      </c>
      <c r="AD759" t="s">
        <v>19</v>
      </c>
      <c r="AE759" t="s">
        <v>20</v>
      </c>
      <c r="AF759" t="str">
        <f t="shared" si="23"/>
        <v>Yes</v>
      </c>
    </row>
    <row r="760" spans="1:32" x14ac:dyDescent="0.3">
      <c r="A760" t="s">
        <v>1341</v>
      </c>
      <c r="B760" s="1">
        <v>45820</v>
      </c>
      <c r="C760" t="s">
        <v>340</v>
      </c>
      <c r="D760">
        <f t="shared" si="22"/>
        <v>17</v>
      </c>
      <c r="E760" t="s">
        <v>131</v>
      </c>
      <c r="F760" t="s">
        <v>48</v>
      </c>
      <c r="G760" t="s">
        <v>98</v>
      </c>
      <c r="H760" t="s">
        <v>122</v>
      </c>
      <c r="I760" t="s">
        <v>123</v>
      </c>
      <c r="J760" t="s">
        <v>7</v>
      </c>
      <c r="K760" t="s">
        <v>323</v>
      </c>
      <c r="L760" t="s">
        <v>319</v>
      </c>
      <c r="M760" t="s">
        <v>184</v>
      </c>
      <c r="N760" t="s">
        <v>30</v>
      </c>
      <c r="O760">
        <v>58</v>
      </c>
      <c r="P760" t="s">
        <v>76</v>
      </c>
      <c r="Q760" t="s">
        <v>313</v>
      </c>
      <c r="R760" t="s">
        <v>314</v>
      </c>
      <c r="S760" t="s">
        <v>128</v>
      </c>
      <c r="T760" t="s">
        <v>35</v>
      </c>
      <c r="U760">
        <v>3</v>
      </c>
      <c r="V760">
        <v>81</v>
      </c>
      <c r="W760">
        <v>202.5</v>
      </c>
      <c r="X760">
        <v>10</v>
      </c>
      <c r="Y760">
        <v>546.75</v>
      </c>
      <c r="Z760">
        <v>303.75</v>
      </c>
      <c r="AA760" t="s">
        <v>69</v>
      </c>
      <c r="AB760" t="s">
        <v>37</v>
      </c>
      <c r="AC760">
        <v>3</v>
      </c>
      <c r="AD760" t="s">
        <v>19</v>
      </c>
      <c r="AE760" t="s">
        <v>20</v>
      </c>
      <c r="AF760" t="str">
        <f t="shared" si="23"/>
        <v>Yes</v>
      </c>
    </row>
    <row r="761" spans="1:32" x14ac:dyDescent="0.3">
      <c r="A761" t="s">
        <v>1342</v>
      </c>
      <c r="B761" s="1">
        <v>45818</v>
      </c>
      <c r="C761" t="s">
        <v>113</v>
      </c>
      <c r="D761">
        <f t="shared" si="22"/>
        <v>8</v>
      </c>
      <c r="E761" t="s">
        <v>131</v>
      </c>
      <c r="F761" t="s">
        <v>48</v>
      </c>
      <c r="G761" t="s">
        <v>181</v>
      </c>
      <c r="H761" t="s">
        <v>5</v>
      </c>
      <c r="I761" t="s">
        <v>6</v>
      </c>
      <c r="J761" t="s">
        <v>7</v>
      </c>
      <c r="K761" t="s">
        <v>270</v>
      </c>
      <c r="L761" t="s">
        <v>661</v>
      </c>
      <c r="M761" t="s">
        <v>29</v>
      </c>
      <c r="N761" t="s">
        <v>30</v>
      </c>
      <c r="O761">
        <v>51</v>
      </c>
      <c r="P761" t="s">
        <v>31</v>
      </c>
      <c r="Q761" t="s">
        <v>77</v>
      </c>
      <c r="R761" t="s">
        <v>78</v>
      </c>
      <c r="S761" t="s">
        <v>68</v>
      </c>
      <c r="T761" t="s">
        <v>16</v>
      </c>
      <c r="U761">
        <v>1</v>
      </c>
      <c r="V761">
        <v>35</v>
      </c>
      <c r="W761">
        <v>105</v>
      </c>
      <c r="X761">
        <v>5</v>
      </c>
      <c r="Y761">
        <v>99.75</v>
      </c>
      <c r="Z761">
        <v>64.75</v>
      </c>
      <c r="AA761" t="s">
        <v>179</v>
      </c>
      <c r="AB761" t="s">
        <v>119</v>
      </c>
      <c r="AD761" t="s">
        <v>19</v>
      </c>
      <c r="AE761" t="s">
        <v>20</v>
      </c>
      <c r="AF761" t="str">
        <f t="shared" si="23"/>
        <v>Yes</v>
      </c>
    </row>
    <row r="762" spans="1:32" x14ac:dyDescent="0.3">
      <c r="A762" t="s">
        <v>1343</v>
      </c>
      <c r="B762" s="1">
        <v>45665</v>
      </c>
      <c r="C762" t="s">
        <v>546</v>
      </c>
      <c r="D762">
        <f t="shared" si="22"/>
        <v>21</v>
      </c>
      <c r="E762" t="s">
        <v>2</v>
      </c>
      <c r="F762" t="s">
        <v>3</v>
      </c>
      <c r="G762" t="s">
        <v>73</v>
      </c>
      <c r="H762" t="s">
        <v>99</v>
      </c>
      <c r="I762" t="s">
        <v>100</v>
      </c>
      <c r="J762" t="s">
        <v>101</v>
      </c>
      <c r="K762" t="s">
        <v>311</v>
      </c>
      <c r="L762" t="s">
        <v>556</v>
      </c>
      <c r="M762" t="s">
        <v>225</v>
      </c>
      <c r="N762" t="s">
        <v>11</v>
      </c>
      <c r="O762">
        <v>35</v>
      </c>
      <c r="P762" t="s">
        <v>76</v>
      </c>
      <c r="Q762" t="s">
        <v>300</v>
      </c>
      <c r="R762" t="s">
        <v>301</v>
      </c>
      <c r="S762" t="s">
        <v>187</v>
      </c>
      <c r="T762" t="s">
        <v>35</v>
      </c>
      <c r="U762">
        <v>2</v>
      </c>
      <c r="V762">
        <v>86</v>
      </c>
      <c r="W762">
        <v>258</v>
      </c>
      <c r="X762">
        <v>10</v>
      </c>
      <c r="Y762">
        <v>464.4</v>
      </c>
      <c r="Z762">
        <v>292.39999999999998</v>
      </c>
      <c r="AA762" t="s">
        <v>179</v>
      </c>
      <c r="AB762" t="s">
        <v>18</v>
      </c>
      <c r="AC762">
        <v>5</v>
      </c>
      <c r="AD762" t="s">
        <v>19</v>
      </c>
      <c r="AE762" t="s">
        <v>20</v>
      </c>
      <c r="AF762" t="str">
        <f t="shared" si="23"/>
        <v>Yes</v>
      </c>
    </row>
    <row r="763" spans="1:32" x14ac:dyDescent="0.3">
      <c r="A763" t="s">
        <v>1344</v>
      </c>
      <c r="B763" s="1">
        <v>45671</v>
      </c>
      <c r="C763" t="s">
        <v>373</v>
      </c>
      <c r="D763">
        <f t="shared" si="22"/>
        <v>9</v>
      </c>
      <c r="E763" t="s">
        <v>2</v>
      </c>
      <c r="F763" t="s">
        <v>3</v>
      </c>
      <c r="G763" t="s">
        <v>181</v>
      </c>
      <c r="H763" t="s">
        <v>122</v>
      </c>
      <c r="I763" t="s">
        <v>123</v>
      </c>
      <c r="J763" t="s">
        <v>7</v>
      </c>
      <c r="K763" t="s">
        <v>27</v>
      </c>
      <c r="L763" t="s">
        <v>335</v>
      </c>
      <c r="M763" t="s">
        <v>10</v>
      </c>
      <c r="N763" t="s">
        <v>30</v>
      </c>
      <c r="O763">
        <v>24</v>
      </c>
      <c r="P763" t="s">
        <v>91</v>
      </c>
      <c r="Q763" t="s">
        <v>291</v>
      </c>
      <c r="R763" t="s">
        <v>292</v>
      </c>
      <c r="S763" t="s">
        <v>242</v>
      </c>
      <c r="T763" t="s">
        <v>16</v>
      </c>
      <c r="U763">
        <v>3</v>
      </c>
      <c r="V763">
        <v>68</v>
      </c>
      <c r="W763">
        <v>204</v>
      </c>
      <c r="X763">
        <v>0</v>
      </c>
      <c r="Y763">
        <v>612</v>
      </c>
      <c r="Z763">
        <v>408</v>
      </c>
      <c r="AA763" t="s">
        <v>43</v>
      </c>
      <c r="AB763" t="s">
        <v>87</v>
      </c>
      <c r="AC763">
        <v>4</v>
      </c>
      <c r="AD763" t="s">
        <v>105</v>
      </c>
      <c r="AE763" t="s">
        <v>20</v>
      </c>
      <c r="AF763" t="str">
        <f t="shared" si="23"/>
        <v>Yes</v>
      </c>
    </row>
    <row r="764" spans="1:32" x14ac:dyDescent="0.3">
      <c r="A764" t="s">
        <v>1345</v>
      </c>
      <c r="B764" s="1">
        <v>45763</v>
      </c>
      <c r="C764" t="s">
        <v>189</v>
      </c>
      <c r="D764">
        <f t="shared" si="22"/>
        <v>9</v>
      </c>
      <c r="E764" t="s">
        <v>60</v>
      </c>
      <c r="F764" t="s">
        <v>48</v>
      </c>
      <c r="G764" t="s">
        <v>73</v>
      </c>
      <c r="H764" t="s">
        <v>159</v>
      </c>
      <c r="I764" t="s">
        <v>160</v>
      </c>
      <c r="J764" t="s">
        <v>161</v>
      </c>
      <c r="K764" t="s">
        <v>27</v>
      </c>
      <c r="L764" t="s">
        <v>125</v>
      </c>
      <c r="M764" t="s">
        <v>10</v>
      </c>
      <c r="N764" t="s">
        <v>11</v>
      </c>
      <c r="O764">
        <v>61</v>
      </c>
      <c r="P764" t="s">
        <v>91</v>
      </c>
      <c r="Q764" t="s">
        <v>431</v>
      </c>
      <c r="R764" t="s">
        <v>432</v>
      </c>
      <c r="S764" t="s">
        <v>172</v>
      </c>
      <c r="T764" t="s">
        <v>35</v>
      </c>
      <c r="U764">
        <v>4</v>
      </c>
      <c r="V764">
        <v>77</v>
      </c>
      <c r="W764">
        <v>192.5</v>
      </c>
      <c r="X764">
        <v>0</v>
      </c>
      <c r="Y764">
        <v>770</v>
      </c>
      <c r="Z764">
        <v>462</v>
      </c>
      <c r="AA764" t="s">
        <v>43</v>
      </c>
      <c r="AB764" t="s">
        <v>87</v>
      </c>
      <c r="AC764">
        <v>4</v>
      </c>
      <c r="AD764" t="s">
        <v>19</v>
      </c>
      <c r="AE764" t="s">
        <v>20</v>
      </c>
      <c r="AF764" t="str">
        <f t="shared" si="23"/>
        <v>Yes</v>
      </c>
    </row>
    <row r="765" spans="1:32" x14ac:dyDescent="0.3">
      <c r="A765" t="s">
        <v>1346</v>
      </c>
      <c r="B765" s="1">
        <v>45765</v>
      </c>
      <c r="C765" t="s">
        <v>214</v>
      </c>
      <c r="D765">
        <f t="shared" si="22"/>
        <v>7</v>
      </c>
      <c r="E765" t="s">
        <v>60</v>
      </c>
      <c r="F765" t="s">
        <v>48</v>
      </c>
      <c r="G765" t="s">
        <v>40</v>
      </c>
      <c r="H765" t="s">
        <v>122</v>
      </c>
      <c r="I765" t="s">
        <v>123</v>
      </c>
      <c r="J765" t="s">
        <v>7</v>
      </c>
      <c r="K765" t="s">
        <v>146</v>
      </c>
      <c r="L765" t="s">
        <v>1246</v>
      </c>
      <c r="M765" t="s">
        <v>53</v>
      </c>
      <c r="N765" t="s">
        <v>11</v>
      </c>
      <c r="O765">
        <v>43</v>
      </c>
      <c r="P765" t="s">
        <v>76</v>
      </c>
      <c r="Q765" t="s">
        <v>235</v>
      </c>
      <c r="R765" t="s">
        <v>236</v>
      </c>
      <c r="S765" t="s">
        <v>237</v>
      </c>
      <c r="T765" t="s">
        <v>35</v>
      </c>
      <c r="U765">
        <v>3</v>
      </c>
      <c r="V765">
        <v>22</v>
      </c>
      <c r="W765">
        <v>61.6</v>
      </c>
      <c r="X765">
        <v>15</v>
      </c>
      <c r="Y765">
        <v>157.08000000000001</v>
      </c>
      <c r="Z765">
        <v>91.08</v>
      </c>
      <c r="AA765" t="s">
        <v>36</v>
      </c>
      <c r="AB765" t="s">
        <v>37</v>
      </c>
      <c r="AC765">
        <v>4</v>
      </c>
      <c r="AD765" t="s">
        <v>19</v>
      </c>
      <c r="AE765" t="s">
        <v>20</v>
      </c>
      <c r="AF765" t="str">
        <f t="shared" si="23"/>
        <v>Yes</v>
      </c>
    </row>
    <row r="766" spans="1:32" x14ac:dyDescent="0.3">
      <c r="A766" t="s">
        <v>1347</v>
      </c>
      <c r="B766" s="1">
        <v>45733</v>
      </c>
      <c r="C766" t="s">
        <v>373</v>
      </c>
      <c r="D766">
        <f t="shared" si="22"/>
        <v>9</v>
      </c>
      <c r="E766" t="s">
        <v>72</v>
      </c>
      <c r="F766" t="s">
        <v>3</v>
      </c>
      <c r="G766" t="s">
        <v>23</v>
      </c>
      <c r="H766" t="s">
        <v>159</v>
      </c>
      <c r="I766" t="s">
        <v>160</v>
      </c>
      <c r="J766" t="s">
        <v>161</v>
      </c>
      <c r="K766" t="s">
        <v>153</v>
      </c>
      <c r="L766" t="s">
        <v>1197</v>
      </c>
      <c r="M766" t="s">
        <v>53</v>
      </c>
      <c r="N766" t="s">
        <v>11</v>
      </c>
      <c r="O766">
        <v>64</v>
      </c>
      <c r="P766" t="s">
        <v>12</v>
      </c>
      <c r="Q766" t="s">
        <v>291</v>
      </c>
      <c r="R766" t="s">
        <v>292</v>
      </c>
      <c r="S766" t="s">
        <v>242</v>
      </c>
      <c r="T766" t="s">
        <v>16</v>
      </c>
      <c r="U766">
        <v>1</v>
      </c>
      <c r="V766">
        <v>68</v>
      </c>
      <c r="W766">
        <v>204</v>
      </c>
      <c r="X766">
        <v>10</v>
      </c>
      <c r="Y766">
        <v>183.6</v>
      </c>
      <c r="Z766">
        <v>115.6</v>
      </c>
      <c r="AA766" t="s">
        <v>179</v>
      </c>
      <c r="AB766" t="s">
        <v>18</v>
      </c>
      <c r="AC766">
        <v>3</v>
      </c>
      <c r="AD766" t="s">
        <v>105</v>
      </c>
      <c r="AE766" t="s">
        <v>20</v>
      </c>
      <c r="AF766" t="str">
        <f t="shared" si="23"/>
        <v>Yes</v>
      </c>
    </row>
    <row r="767" spans="1:32" x14ac:dyDescent="0.3">
      <c r="A767" t="s">
        <v>1348</v>
      </c>
      <c r="B767" s="1">
        <v>45658</v>
      </c>
      <c r="C767" t="s">
        <v>373</v>
      </c>
      <c r="D767">
        <f t="shared" si="22"/>
        <v>9</v>
      </c>
      <c r="E767" t="s">
        <v>2</v>
      </c>
      <c r="F767" t="s">
        <v>3</v>
      </c>
      <c r="G767" t="s">
        <v>73</v>
      </c>
      <c r="H767" t="s">
        <v>150</v>
      </c>
      <c r="I767" t="s">
        <v>151</v>
      </c>
      <c r="J767" t="s">
        <v>152</v>
      </c>
      <c r="K767" t="s">
        <v>74</v>
      </c>
      <c r="L767" t="s">
        <v>1349</v>
      </c>
      <c r="M767" t="s">
        <v>184</v>
      </c>
      <c r="N767" t="s">
        <v>30</v>
      </c>
      <c r="O767">
        <v>22</v>
      </c>
      <c r="P767" t="s">
        <v>12</v>
      </c>
      <c r="Q767" t="s">
        <v>155</v>
      </c>
      <c r="R767" t="s">
        <v>156</v>
      </c>
      <c r="S767" t="s">
        <v>34</v>
      </c>
      <c r="T767" t="s">
        <v>16</v>
      </c>
      <c r="U767">
        <v>1</v>
      </c>
      <c r="V767">
        <v>40</v>
      </c>
      <c r="W767">
        <v>100</v>
      </c>
      <c r="X767">
        <v>0</v>
      </c>
      <c r="Y767">
        <v>100</v>
      </c>
      <c r="Z767">
        <v>60</v>
      </c>
      <c r="AA767" t="s">
        <v>17</v>
      </c>
      <c r="AB767" t="s">
        <v>87</v>
      </c>
      <c r="AC767">
        <v>5</v>
      </c>
      <c r="AD767" t="s">
        <v>19</v>
      </c>
      <c r="AE767" t="s">
        <v>20</v>
      </c>
      <c r="AF767" t="str">
        <f t="shared" si="23"/>
        <v>Yes</v>
      </c>
    </row>
    <row r="768" spans="1:32" x14ac:dyDescent="0.3">
      <c r="A768" t="s">
        <v>1350</v>
      </c>
      <c r="B768" s="1">
        <v>45732</v>
      </c>
      <c r="C768" t="s">
        <v>22</v>
      </c>
      <c r="D768">
        <f t="shared" si="22"/>
        <v>7</v>
      </c>
      <c r="E768" t="s">
        <v>72</v>
      </c>
      <c r="F768" t="s">
        <v>3</v>
      </c>
      <c r="G768" t="s">
        <v>4</v>
      </c>
      <c r="H768" t="s">
        <v>81</v>
      </c>
      <c r="I768" t="s">
        <v>82</v>
      </c>
      <c r="J768" t="s">
        <v>7</v>
      </c>
      <c r="K768" t="s">
        <v>146</v>
      </c>
      <c r="L768" t="s">
        <v>382</v>
      </c>
      <c r="M768" t="s">
        <v>65</v>
      </c>
      <c r="N768" t="s">
        <v>30</v>
      </c>
      <c r="O768">
        <v>46</v>
      </c>
      <c r="P768" t="s">
        <v>54</v>
      </c>
      <c r="Q768" t="s">
        <v>204</v>
      </c>
      <c r="R768" t="s">
        <v>205</v>
      </c>
      <c r="S768" t="s">
        <v>118</v>
      </c>
      <c r="T768" t="s">
        <v>35</v>
      </c>
      <c r="U768">
        <v>3</v>
      </c>
      <c r="V768">
        <v>59</v>
      </c>
      <c r="W768">
        <v>177</v>
      </c>
      <c r="X768">
        <v>15</v>
      </c>
      <c r="Y768">
        <v>451.35</v>
      </c>
      <c r="Z768">
        <v>274.35000000000002</v>
      </c>
      <c r="AA768" t="s">
        <v>17</v>
      </c>
      <c r="AB768" t="s">
        <v>37</v>
      </c>
      <c r="AC768">
        <v>4</v>
      </c>
      <c r="AD768" t="s">
        <v>105</v>
      </c>
      <c r="AE768" t="s">
        <v>20</v>
      </c>
      <c r="AF768" t="str">
        <f t="shared" si="23"/>
        <v>Yes</v>
      </c>
    </row>
    <row r="769" spans="1:32" x14ac:dyDescent="0.3">
      <c r="A769" t="s">
        <v>1351</v>
      </c>
      <c r="B769" s="1">
        <v>45818</v>
      </c>
      <c r="C769" t="s">
        <v>191</v>
      </c>
      <c r="D769">
        <f t="shared" si="22"/>
        <v>19</v>
      </c>
      <c r="E769" t="s">
        <v>131</v>
      </c>
      <c r="F769" t="s">
        <v>48</v>
      </c>
      <c r="G769" t="s">
        <v>181</v>
      </c>
      <c r="H769" t="s">
        <v>49</v>
      </c>
      <c r="I769" t="s">
        <v>50</v>
      </c>
      <c r="J769" t="s">
        <v>7</v>
      </c>
      <c r="K769" t="s">
        <v>245</v>
      </c>
      <c r="L769" t="s">
        <v>84</v>
      </c>
      <c r="M769" t="s">
        <v>65</v>
      </c>
      <c r="N769" t="s">
        <v>11</v>
      </c>
      <c r="O769">
        <v>63</v>
      </c>
      <c r="P769" t="s">
        <v>76</v>
      </c>
      <c r="Q769" t="s">
        <v>216</v>
      </c>
      <c r="R769" t="s">
        <v>217</v>
      </c>
      <c r="S769" t="s">
        <v>218</v>
      </c>
      <c r="T769" t="s">
        <v>35</v>
      </c>
      <c r="U769">
        <v>4</v>
      </c>
      <c r="V769">
        <v>67</v>
      </c>
      <c r="W769">
        <v>187.6</v>
      </c>
      <c r="X769">
        <v>10</v>
      </c>
      <c r="Y769">
        <v>675.36</v>
      </c>
      <c r="Z769">
        <v>407.36</v>
      </c>
      <c r="AA769" t="s">
        <v>43</v>
      </c>
      <c r="AB769" t="s">
        <v>119</v>
      </c>
      <c r="AC769">
        <v>3</v>
      </c>
      <c r="AD769" t="s">
        <v>19</v>
      </c>
      <c r="AE769" t="s">
        <v>20</v>
      </c>
      <c r="AF769" t="str">
        <f t="shared" si="23"/>
        <v>Yes</v>
      </c>
    </row>
    <row r="770" spans="1:32" x14ac:dyDescent="0.3">
      <c r="A770" t="s">
        <v>1352</v>
      </c>
      <c r="B770" s="1">
        <v>45718</v>
      </c>
      <c r="C770" t="s">
        <v>189</v>
      </c>
      <c r="D770">
        <f t="shared" ref="D770:D801" si="24">HOUR(C770)</f>
        <v>9</v>
      </c>
      <c r="E770" t="s">
        <v>72</v>
      </c>
      <c r="F770" t="s">
        <v>3</v>
      </c>
      <c r="G770" t="s">
        <v>4</v>
      </c>
      <c r="H770" t="s">
        <v>164</v>
      </c>
      <c r="I770" t="s">
        <v>165</v>
      </c>
      <c r="J770" t="s">
        <v>166</v>
      </c>
      <c r="K770" t="s">
        <v>182</v>
      </c>
      <c r="L770" t="s">
        <v>380</v>
      </c>
      <c r="M770" t="s">
        <v>65</v>
      </c>
      <c r="N770" t="s">
        <v>11</v>
      </c>
      <c r="O770">
        <v>42</v>
      </c>
      <c r="P770" t="s">
        <v>12</v>
      </c>
      <c r="Q770" t="s">
        <v>77</v>
      </c>
      <c r="R770" t="s">
        <v>78</v>
      </c>
      <c r="S770" t="s">
        <v>68</v>
      </c>
      <c r="T770" t="s">
        <v>16</v>
      </c>
      <c r="U770">
        <v>1</v>
      </c>
      <c r="V770">
        <v>35</v>
      </c>
      <c r="W770">
        <v>105</v>
      </c>
      <c r="X770">
        <v>0</v>
      </c>
      <c r="Y770">
        <v>105</v>
      </c>
      <c r="Z770">
        <v>70</v>
      </c>
      <c r="AA770" t="s">
        <v>36</v>
      </c>
      <c r="AB770" t="s">
        <v>18</v>
      </c>
      <c r="AC770">
        <v>4</v>
      </c>
      <c r="AD770" t="s">
        <v>19</v>
      </c>
      <c r="AE770" t="s">
        <v>20</v>
      </c>
      <c r="AF770" t="str">
        <f t="shared" si="23"/>
        <v>Yes</v>
      </c>
    </row>
    <row r="771" spans="1:32" x14ac:dyDescent="0.3">
      <c r="A771" t="s">
        <v>1353</v>
      </c>
      <c r="B771" s="1">
        <v>45745</v>
      </c>
      <c r="C771" t="s">
        <v>683</v>
      </c>
      <c r="D771">
        <f t="shared" si="24"/>
        <v>15</v>
      </c>
      <c r="E771" t="s">
        <v>72</v>
      </c>
      <c r="F771" t="s">
        <v>3</v>
      </c>
      <c r="G771" t="s">
        <v>132</v>
      </c>
      <c r="H771" t="s">
        <v>61</v>
      </c>
      <c r="I771" t="s">
        <v>62</v>
      </c>
      <c r="J771" t="s">
        <v>7</v>
      </c>
      <c r="K771" t="s">
        <v>83</v>
      </c>
      <c r="L771" t="s">
        <v>1221</v>
      </c>
      <c r="M771" t="s">
        <v>65</v>
      </c>
      <c r="N771" t="s">
        <v>11</v>
      </c>
      <c r="O771">
        <v>22</v>
      </c>
      <c r="P771" t="s">
        <v>54</v>
      </c>
      <c r="Q771" t="s">
        <v>436</v>
      </c>
      <c r="R771" t="s">
        <v>437</v>
      </c>
      <c r="S771" t="s">
        <v>178</v>
      </c>
      <c r="T771" t="s">
        <v>35</v>
      </c>
      <c r="U771">
        <v>3</v>
      </c>
      <c r="V771">
        <v>66</v>
      </c>
      <c r="W771">
        <v>165</v>
      </c>
      <c r="X771">
        <v>5</v>
      </c>
      <c r="Y771">
        <v>470.25</v>
      </c>
      <c r="Z771">
        <v>272.25</v>
      </c>
      <c r="AA771" t="s">
        <v>36</v>
      </c>
      <c r="AB771" t="s">
        <v>18</v>
      </c>
      <c r="AD771" t="s">
        <v>105</v>
      </c>
      <c r="AE771" t="s">
        <v>20</v>
      </c>
      <c r="AF771" t="str">
        <f t="shared" si="23"/>
        <v>Yes</v>
      </c>
    </row>
    <row r="772" spans="1:32" x14ac:dyDescent="0.3">
      <c r="A772" t="s">
        <v>1354</v>
      </c>
      <c r="B772" s="1">
        <v>45701</v>
      </c>
      <c r="C772" t="s">
        <v>340</v>
      </c>
      <c r="D772">
        <f t="shared" si="24"/>
        <v>17</v>
      </c>
      <c r="E772" t="s">
        <v>145</v>
      </c>
      <c r="F772" t="s">
        <v>3</v>
      </c>
      <c r="G772" t="s">
        <v>98</v>
      </c>
      <c r="H772" t="s">
        <v>81</v>
      </c>
      <c r="I772" t="s">
        <v>82</v>
      </c>
      <c r="J772" t="s">
        <v>7</v>
      </c>
      <c r="K772" t="s">
        <v>83</v>
      </c>
      <c r="L772" t="s">
        <v>361</v>
      </c>
      <c r="M772" t="s">
        <v>10</v>
      </c>
      <c r="N772" t="s">
        <v>11</v>
      </c>
      <c r="O772">
        <v>35</v>
      </c>
      <c r="P772" t="s">
        <v>91</v>
      </c>
      <c r="Q772" t="s">
        <v>235</v>
      </c>
      <c r="R772" t="s">
        <v>236</v>
      </c>
      <c r="S772" t="s">
        <v>237</v>
      </c>
      <c r="T772" t="s">
        <v>35</v>
      </c>
      <c r="U772">
        <v>2</v>
      </c>
      <c r="V772">
        <v>22</v>
      </c>
      <c r="W772">
        <v>61.6</v>
      </c>
      <c r="X772">
        <v>15</v>
      </c>
      <c r="Y772">
        <v>104.72</v>
      </c>
      <c r="Z772">
        <v>60.72</v>
      </c>
      <c r="AA772" t="s">
        <v>179</v>
      </c>
      <c r="AB772" t="s">
        <v>37</v>
      </c>
      <c r="AC772">
        <v>4</v>
      </c>
      <c r="AD772" t="s">
        <v>19</v>
      </c>
      <c r="AE772" t="s">
        <v>20</v>
      </c>
      <c r="AF772" t="str">
        <f t="shared" ref="AF772:AF801" si="25">IF(AE772="Completed","Yes",IF(AE772="Cancelled","No","Review"))</f>
        <v>Yes</v>
      </c>
    </row>
    <row r="773" spans="1:32" x14ac:dyDescent="0.3">
      <c r="A773" t="s">
        <v>1355</v>
      </c>
      <c r="B773" s="1">
        <v>45822</v>
      </c>
      <c r="C773" t="s">
        <v>191</v>
      </c>
      <c r="D773">
        <f t="shared" si="24"/>
        <v>19</v>
      </c>
      <c r="E773" t="s">
        <v>131</v>
      </c>
      <c r="F773" t="s">
        <v>48</v>
      </c>
      <c r="G773" t="s">
        <v>132</v>
      </c>
      <c r="H773" t="s">
        <v>150</v>
      </c>
      <c r="I773" t="s">
        <v>151</v>
      </c>
      <c r="J773" t="s">
        <v>152</v>
      </c>
      <c r="K773" t="s">
        <v>306</v>
      </c>
      <c r="L773" t="s">
        <v>608</v>
      </c>
      <c r="M773" t="s">
        <v>140</v>
      </c>
      <c r="N773" t="s">
        <v>11</v>
      </c>
      <c r="O773">
        <v>31</v>
      </c>
      <c r="P773" t="s">
        <v>76</v>
      </c>
      <c r="Q773" t="s">
        <v>211</v>
      </c>
      <c r="R773" t="s">
        <v>212</v>
      </c>
      <c r="S773" t="s">
        <v>128</v>
      </c>
      <c r="T773" t="s">
        <v>16</v>
      </c>
      <c r="U773">
        <v>1</v>
      </c>
      <c r="V773">
        <v>50</v>
      </c>
      <c r="W773">
        <v>140</v>
      </c>
      <c r="X773">
        <v>10</v>
      </c>
      <c r="Y773">
        <v>126</v>
      </c>
      <c r="Z773">
        <v>76</v>
      </c>
      <c r="AA773" t="s">
        <v>179</v>
      </c>
      <c r="AB773" t="s">
        <v>44</v>
      </c>
      <c r="AC773">
        <v>3</v>
      </c>
      <c r="AD773" t="s">
        <v>105</v>
      </c>
      <c r="AE773" t="s">
        <v>20</v>
      </c>
      <c r="AF773" t="str">
        <f t="shared" si="25"/>
        <v>Yes</v>
      </c>
    </row>
    <row r="774" spans="1:32" x14ac:dyDescent="0.3">
      <c r="A774" t="s">
        <v>1356</v>
      </c>
      <c r="B774" s="1">
        <v>45717</v>
      </c>
      <c r="C774" t="s">
        <v>388</v>
      </c>
      <c r="D774">
        <f t="shared" si="24"/>
        <v>19</v>
      </c>
      <c r="E774" t="s">
        <v>72</v>
      </c>
      <c r="F774" t="s">
        <v>3</v>
      </c>
      <c r="G774" t="s">
        <v>132</v>
      </c>
      <c r="H774" t="s">
        <v>164</v>
      </c>
      <c r="I774" t="s">
        <v>165</v>
      </c>
      <c r="J774" t="s">
        <v>166</v>
      </c>
      <c r="K774" t="s">
        <v>74</v>
      </c>
      <c r="L774" t="s">
        <v>645</v>
      </c>
      <c r="M774" t="s">
        <v>184</v>
      </c>
      <c r="N774" t="s">
        <v>30</v>
      </c>
      <c r="O774">
        <v>30</v>
      </c>
      <c r="P774" t="s">
        <v>12</v>
      </c>
      <c r="Q774" t="s">
        <v>211</v>
      </c>
      <c r="R774" t="s">
        <v>212</v>
      </c>
      <c r="S774" t="s">
        <v>128</v>
      </c>
      <c r="T774" t="s">
        <v>16</v>
      </c>
      <c r="U774">
        <v>4</v>
      </c>
      <c r="V774">
        <v>50</v>
      </c>
      <c r="W774">
        <v>140</v>
      </c>
      <c r="X774">
        <v>10</v>
      </c>
      <c r="Y774">
        <v>504</v>
      </c>
      <c r="Z774">
        <v>304</v>
      </c>
      <c r="AA774" t="s">
        <v>17</v>
      </c>
      <c r="AB774" t="s">
        <v>119</v>
      </c>
      <c r="AD774" t="s">
        <v>19</v>
      </c>
      <c r="AE774" t="s">
        <v>95</v>
      </c>
      <c r="AF774" t="str">
        <f t="shared" si="25"/>
        <v>No</v>
      </c>
    </row>
    <row r="775" spans="1:32" x14ac:dyDescent="0.3">
      <c r="A775" t="s">
        <v>1357</v>
      </c>
      <c r="B775" s="1">
        <v>45824</v>
      </c>
      <c r="C775" t="s">
        <v>276</v>
      </c>
      <c r="D775">
        <f t="shared" si="24"/>
        <v>13</v>
      </c>
      <c r="E775" t="s">
        <v>131</v>
      </c>
      <c r="F775" t="s">
        <v>48</v>
      </c>
      <c r="G775" t="s">
        <v>23</v>
      </c>
      <c r="H775" t="s">
        <v>122</v>
      </c>
      <c r="I775" t="s">
        <v>123</v>
      </c>
      <c r="J775" t="s">
        <v>7</v>
      </c>
      <c r="K775" t="s">
        <v>346</v>
      </c>
      <c r="L775" t="s">
        <v>645</v>
      </c>
      <c r="M775" t="s">
        <v>10</v>
      </c>
      <c r="N775" t="s">
        <v>30</v>
      </c>
      <c r="O775">
        <v>56</v>
      </c>
      <c r="P775" t="s">
        <v>91</v>
      </c>
      <c r="Q775" t="s">
        <v>390</v>
      </c>
      <c r="R775" t="s">
        <v>391</v>
      </c>
      <c r="S775" t="s">
        <v>172</v>
      </c>
      <c r="T775" t="s">
        <v>16</v>
      </c>
      <c r="U775">
        <v>3</v>
      </c>
      <c r="V775">
        <v>69</v>
      </c>
      <c r="W775">
        <v>193.2</v>
      </c>
      <c r="X775">
        <v>5</v>
      </c>
      <c r="Y775">
        <v>550.62</v>
      </c>
      <c r="Z775">
        <v>343.62</v>
      </c>
      <c r="AA775" t="s">
        <v>69</v>
      </c>
      <c r="AB775" t="s">
        <v>37</v>
      </c>
      <c r="AC775">
        <v>4</v>
      </c>
      <c r="AD775" t="s">
        <v>105</v>
      </c>
      <c r="AE775" t="s">
        <v>95</v>
      </c>
      <c r="AF775" t="str">
        <f t="shared" si="25"/>
        <v>No</v>
      </c>
    </row>
    <row r="776" spans="1:32" x14ac:dyDescent="0.3">
      <c r="A776" t="s">
        <v>1358</v>
      </c>
      <c r="B776" s="1">
        <v>45666</v>
      </c>
      <c r="C776" t="s">
        <v>388</v>
      </c>
      <c r="D776">
        <f t="shared" si="24"/>
        <v>19</v>
      </c>
      <c r="E776" t="s">
        <v>2</v>
      </c>
      <c r="F776" t="s">
        <v>3</v>
      </c>
      <c r="G776" t="s">
        <v>98</v>
      </c>
      <c r="H776" t="s">
        <v>81</v>
      </c>
      <c r="I776" t="s">
        <v>82</v>
      </c>
      <c r="J776" t="s">
        <v>7</v>
      </c>
      <c r="K776" t="s">
        <v>124</v>
      </c>
      <c r="L776" t="s">
        <v>1034</v>
      </c>
      <c r="M776" t="s">
        <v>225</v>
      </c>
      <c r="N776" t="s">
        <v>30</v>
      </c>
      <c r="O776">
        <v>49</v>
      </c>
      <c r="P776" t="s">
        <v>31</v>
      </c>
      <c r="Q776" t="s">
        <v>436</v>
      </c>
      <c r="R776" t="s">
        <v>437</v>
      </c>
      <c r="S776" t="s">
        <v>178</v>
      </c>
      <c r="T776" t="s">
        <v>35</v>
      </c>
      <c r="U776">
        <v>1</v>
      </c>
      <c r="V776">
        <v>66</v>
      </c>
      <c r="W776">
        <v>165</v>
      </c>
      <c r="X776">
        <v>15</v>
      </c>
      <c r="Y776">
        <v>140.25</v>
      </c>
      <c r="Z776">
        <v>74.25</v>
      </c>
      <c r="AA776" t="s">
        <v>69</v>
      </c>
      <c r="AB776" t="s">
        <v>37</v>
      </c>
      <c r="AC776">
        <v>5</v>
      </c>
      <c r="AD776" t="s">
        <v>19</v>
      </c>
      <c r="AE776" t="s">
        <v>20</v>
      </c>
      <c r="AF776" t="str">
        <f t="shared" si="25"/>
        <v>Yes</v>
      </c>
    </row>
    <row r="777" spans="1:32" x14ac:dyDescent="0.3">
      <c r="A777" t="s">
        <v>1359</v>
      </c>
      <c r="B777" s="1">
        <v>45737</v>
      </c>
      <c r="C777" t="s">
        <v>388</v>
      </c>
      <c r="D777">
        <f t="shared" si="24"/>
        <v>19</v>
      </c>
      <c r="E777" t="s">
        <v>72</v>
      </c>
      <c r="F777" t="s">
        <v>3</v>
      </c>
      <c r="G777" t="s">
        <v>40</v>
      </c>
      <c r="H777" t="s">
        <v>5</v>
      </c>
      <c r="I777" t="s">
        <v>6</v>
      </c>
      <c r="J777" t="s">
        <v>7</v>
      </c>
      <c r="K777" t="s">
        <v>306</v>
      </c>
      <c r="L777" t="s">
        <v>1041</v>
      </c>
      <c r="M777" t="s">
        <v>169</v>
      </c>
      <c r="N777" t="s">
        <v>30</v>
      </c>
      <c r="O777">
        <v>16</v>
      </c>
      <c r="P777" t="s">
        <v>12</v>
      </c>
      <c r="Q777" t="s">
        <v>216</v>
      </c>
      <c r="R777" t="s">
        <v>217</v>
      </c>
      <c r="S777" t="s">
        <v>218</v>
      </c>
      <c r="T777" t="s">
        <v>35</v>
      </c>
      <c r="U777">
        <v>3</v>
      </c>
      <c r="V777">
        <v>67</v>
      </c>
      <c r="W777">
        <v>187.6</v>
      </c>
      <c r="X777">
        <v>5</v>
      </c>
      <c r="Y777">
        <v>534.66</v>
      </c>
      <c r="Z777">
        <v>333.66</v>
      </c>
      <c r="AA777" t="s">
        <v>17</v>
      </c>
      <c r="AB777" t="s">
        <v>37</v>
      </c>
      <c r="AC777">
        <v>4</v>
      </c>
      <c r="AD777" t="s">
        <v>19</v>
      </c>
      <c r="AE777" t="s">
        <v>20</v>
      </c>
      <c r="AF777" t="str">
        <f t="shared" si="25"/>
        <v>Yes</v>
      </c>
    </row>
    <row r="778" spans="1:32" x14ac:dyDescent="0.3">
      <c r="A778" t="s">
        <v>1360</v>
      </c>
      <c r="B778" s="1">
        <v>45755</v>
      </c>
      <c r="C778" t="s">
        <v>388</v>
      </c>
      <c r="D778">
        <f t="shared" si="24"/>
        <v>19</v>
      </c>
      <c r="E778" t="s">
        <v>60</v>
      </c>
      <c r="F778" t="s">
        <v>48</v>
      </c>
      <c r="G778" t="s">
        <v>181</v>
      </c>
      <c r="H778" t="s">
        <v>5</v>
      </c>
      <c r="I778" t="s">
        <v>6</v>
      </c>
      <c r="J778" t="s">
        <v>7</v>
      </c>
      <c r="K778" t="s">
        <v>167</v>
      </c>
      <c r="L778" t="s">
        <v>1361</v>
      </c>
      <c r="M778" t="s">
        <v>184</v>
      </c>
      <c r="N778" t="s">
        <v>11</v>
      </c>
      <c r="O778">
        <v>29</v>
      </c>
      <c r="P778" t="s">
        <v>12</v>
      </c>
      <c r="Q778" t="s">
        <v>240</v>
      </c>
      <c r="R778" t="s">
        <v>241</v>
      </c>
      <c r="S778" t="s">
        <v>242</v>
      </c>
      <c r="T778" t="s">
        <v>35</v>
      </c>
      <c r="U778">
        <v>3</v>
      </c>
      <c r="V778">
        <v>89</v>
      </c>
      <c r="W778">
        <v>267</v>
      </c>
      <c r="X778">
        <v>5</v>
      </c>
      <c r="Y778">
        <v>760.95</v>
      </c>
      <c r="Z778">
        <v>493.95</v>
      </c>
      <c r="AA778" t="s">
        <v>36</v>
      </c>
      <c r="AB778" t="s">
        <v>18</v>
      </c>
      <c r="AC778">
        <v>3</v>
      </c>
      <c r="AD778" t="s">
        <v>105</v>
      </c>
      <c r="AE778" t="s">
        <v>95</v>
      </c>
      <c r="AF778" t="str">
        <f t="shared" si="25"/>
        <v>No</v>
      </c>
    </row>
    <row r="779" spans="1:32" x14ac:dyDescent="0.3">
      <c r="A779" t="s">
        <v>1362</v>
      </c>
      <c r="B779" s="1">
        <v>45797</v>
      </c>
      <c r="C779" t="s">
        <v>46</v>
      </c>
      <c r="D779">
        <f t="shared" si="24"/>
        <v>19</v>
      </c>
      <c r="E779" t="s">
        <v>47</v>
      </c>
      <c r="F779" t="s">
        <v>48</v>
      </c>
      <c r="G779" t="s">
        <v>181</v>
      </c>
      <c r="H779" t="s">
        <v>61</v>
      </c>
      <c r="I779" t="s">
        <v>62</v>
      </c>
      <c r="J779" t="s">
        <v>7</v>
      </c>
      <c r="K779" t="s">
        <v>51</v>
      </c>
      <c r="L779" t="s">
        <v>949</v>
      </c>
      <c r="M779" t="s">
        <v>29</v>
      </c>
      <c r="N779" t="s">
        <v>11</v>
      </c>
      <c r="O779">
        <v>27</v>
      </c>
      <c r="P779" t="s">
        <v>12</v>
      </c>
      <c r="Q779" t="s">
        <v>141</v>
      </c>
      <c r="R779" t="s">
        <v>142</v>
      </c>
      <c r="S779" t="s">
        <v>111</v>
      </c>
      <c r="T779" t="s">
        <v>16</v>
      </c>
      <c r="U779">
        <v>3</v>
      </c>
      <c r="V779">
        <v>35</v>
      </c>
      <c r="W779">
        <v>77</v>
      </c>
      <c r="X779">
        <v>5</v>
      </c>
      <c r="Y779">
        <v>219.45</v>
      </c>
      <c r="Z779">
        <v>114.45</v>
      </c>
      <c r="AA779" t="s">
        <v>179</v>
      </c>
      <c r="AB779" t="s">
        <v>119</v>
      </c>
      <c r="AC779">
        <v>4</v>
      </c>
      <c r="AD779" t="s">
        <v>105</v>
      </c>
      <c r="AE779" t="s">
        <v>20</v>
      </c>
      <c r="AF779" t="str">
        <f t="shared" si="25"/>
        <v>Yes</v>
      </c>
    </row>
    <row r="780" spans="1:32" x14ac:dyDescent="0.3">
      <c r="A780" t="s">
        <v>1363</v>
      </c>
      <c r="B780" s="1">
        <v>45752</v>
      </c>
      <c r="C780" t="s">
        <v>113</v>
      </c>
      <c r="D780">
        <f t="shared" si="24"/>
        <v>8</v>
      </c>
      <c r="E780" t="s">
        <v>60</v>
      </c>
      <c r="F780" t="s">
        <v>48</v>
      </c>
      <c r="G780" t="s">
        <v>132</v>
      </c>
      <c r="H780" t="s">
        <v>150</v>
      </c>
      <c r="I780" t="s">
        <v>151</v>
      </c>
      <c r="J780" t="s">
        <v>152</v>
      </c>
      <c r="K780" t="s">
        <v>8</v>
      </c>
      <c r="L780" t="s">
        <v>1364</v>
      </c>
      <c r="M780" t="s">
        <v>65</v>
      </c>
      <c r="N780" t="s">
        <v>11</v>
      </c>
      <c r="O780">
        <v>48</v>
      </c>
      <c r="P780" t="s">
        <v>91</v>
      </c>
      <c r="Q780" t="s">
        <v>240</v>
      </c>
      <c r="R780" t="s">
        <v>241</v>
      </c>
      <c r="S780" t="s">
        <v>242</v>
      </c>
      <c r="T780" t="s">
        <v>35</v>
      </c>
      <c r="U780">
        <v>3</v>
      </c>
      <c r="V780">
        <v>89</v>
      </c>
      <c r="W780">
        <v>267</v>
      </c>
      <c r="X780">
        <v>5</v>
      </c>
      <c r="Y780">
        <v>760.95</v>
      </c>
      <c r="Z780">
        <v>493.95</v>
      </c>
      <c r="AA780" t="s">
        <v>36</v>
      </c>
      <c r="AB780" t="s">
        <v>129</v>
      </c>
      <c r="AC780">
        <v>4</v>
      </c>
      <c r="AD780" t="s">
        <v>105</v>
      </c>
      <c r="AE780" t="s">
        <v>95</v>
      </c>
      <c r="AF780" t="str">
        <f t="shared" si="25"/>
        <v>No</v>
      </c>
    </row>
    <row r="781" spans="1:32" x14ac:dyDescent="0.3">
      <c r="A781" t="s">
        <v>1365</v>
      </c>
      <c r="B781" s="1">
        <v>45727</v>
      </c>
      <c r="C781" t="s">
        <v>330</v>
      </c>
      <c r="D781">
        <f t="shared" si="24"/>
        <v>14</v>
      </c>
      <c r="E781" t="s">
        <v>72</v>
      </c>
      <c r="F781" t="s">
        <v>3</v>
      </c>
      <c r="G781" t="s">
        <v>181</v>
      </c>
      <c r="H781" t="s">
        <v>61</v>
      </c>
      <c r="I781" t="s">
        <v>62</v>
      </c>
      <c r="J781" t="s">
        <v>7</v>
      </c>
      <c r="K781" t="s">
        <v>138</v>
      </c>
      <c r="L781" t="s">
        <v>367</v>
      </c>
      <c r="M781" t="s">
        <v>29</v>
      </c>
      <c r="N781" t="s">
        <v>11</v>
      </c>
      <c r="O781">
        <v>27</v>
      </c>
      <c r="P781" t="s">
        <v>31</v>
      </c>
      <c r="Q781" t="s">
        <v>252</v>
      </c>
      <c r="R781" t="s">
        <v>253</v>
      </c>
      <c r="S781" t="s">
        <v>178</v>
      </c>
      <c r="T781" t="s">
        <v>35</v>
      </c>
      <c r="U781">
        <v>3</v>
      </c>
      <c r="V781">
        <v>82</v>
      </c>
      <c r="W781">
        <v>205</v>
      </c>
      <c r="X781">
        <v>5</v>
      </c>
      <c r="Y781">
        <v>584.25</v>
      </c>
      <c r="Z781">
        <v>338.25</v>
      </c>
      <c r="AA781" t="s">
        <v>36</v>
      </c>
      <c r="AB781" t="s">
        <v>87</v>
      </c>
      <c r="AC781">
        <v>4</v>
      </c>
      <c r="AD781" t="s">
        <v>19</v>
      </c>
      <c r="AE781" t="s">
        <v>95</v>
      </c>
      <c r="AF781" t="str">
        <f t="shared" si="25"/>
        <v>No</v>
      </c>
    </row>
    <row r="782" spans="1:32" x14ac:dyDescent="0.3">
      <c r="A782" t="s">
        <v>1366</v>
      </c>
      <c r="B782" s="1">
        <v>45773</v>
      </c>
      <c r="C782" t="s">
        <v>758</v>
      </c>
      <c r="D782">
        <f t="shared" si="24"/>
        <v>12</v>
      </c>
      <c r="E782" t="s">
        <v>60</v>
      </c>
      <c r="F782" t="s">
        <v>48</v>
      </c>
      <c r="G782" t="s">
        <v>132</v>
      </c>
      <c r="H782" t="s">
        <v>150</v>
      </c>
      <c r="I782" t="s">
        <v>151</v>
      </c>
      <c r="J782" t="s">
        <v>152</v>
      </c>
      <c r="K782" t="s">
        <v>318</v>
      </c>
      <c r="L782" t="s">
        <v>498</v>
      </c>
      <c r="M782" t="s">
        <v>140</v>
      </c>
      <c r="N782" t="s">
        <v>30</v>
      </c>
      <c r="O782">
        <v>16</v>
      </c>
      <c r="P782" t="s">
        <v>91</v>
      </c>
      <c r="Q782" t="s">
        <v>216</v>
      </c>
      <c r="R782" t="s">
        <v>217</v>
      </c>
      <c r="S782" t="s">
        <v>218</v>
      </c>
      <c r="T782" t="s">
        <v>35</v>
      </c>
      <c r="U782">
        <v>3</v>
      </c>
      <c r="V782">
        <v>67</v>
      </c>
      <c r="W782">
        <v>187.6</v>
      </c>
      <c r="X782">
        <v>0</v>
      </c>
      <c r="Y782">
        <v>562.79999999999995</v>
      </c>
      <c r="Z782">
        <v>361.8</v>
      </c>
      <c r="AA782" t="s">
        <v>36</v>
      </c>
      <c r="AB782" t="s">
        <v>119</v>
      </c>
      <c r="AC782">
        <v>4</v>
      </c>
      <c r="AD782" t="s">
        <v>105</v>
      </c>
      <c r="AE782" t="s">
        <v>20</v>
      </c>
      <c r="AF782" t="str">
        <f t="shared" si="25"/>
        <v>Yes</v>
      </c>
    </row>
    <row r="783" spans="1:32" x14ac:dyDescent="0.3">
      <c r="A783" t="s">
        <v>1367</v>
      </c>
      <c r="B783" s="1">
        <v>45803</v>
      </c>
      <c r="C783" t="s">
        <v>298</v>
      </c>
      <c r="D783">
        <f t="shared" si="24"/>
        <v>11</v>
      </c>
      <c r="E783" t="s">
        <v>47</v>
      </c>
      <c r="F783" t="s">
        <v>48</v>
      </c>
      <c r="G783" t="s">
        <v>23</v>
      </c>
      <c r="H783" t="s">
        <v>5</v>
      </c>
      <c r="I783" t="s">
        <v>6</v>
      </c>
      <c r="J783" t="s">
        <v>7</v>
      </c>
      <c r="K783" t="s">
        <v>8</v>
      </c>
      <c r="L783" t="s">
        <v>487</v>
      </c>
      <c r="M783" t="s">
        <v>225</v>
      </c>
      <c r="N783" t="s">
        <v>11</v>
      </c>
      <c r="O783">
        <v>23</v>
      </c>
      <c r="P783" t="s">
        <v>54</v>
      </c>
      <c r="Q783" t="s">
        <v>364</v>
      </c>
      <c r="R783" t="s">
        <v>365</v>
      </c>
      <c r="S783" t="s">
        <v>187</v>
      </c>
      <c r="T783" t="s">
        <v>35</v>
      </c>
      <c r="U783">
        <v>1</v>
      </c>
      <c r="V783">
        <v>28</v>
      </c>
      <c r="W783">
        <v>84</v>
      </c>
      <c r="X783">
        <v>5</v>
      </c>
      <c r="Y783">
        <v>79.8</v>
      </c>
      <c r="Z783">
        <v>51.8</v>
      </c>
      <c r="AA783" t="s">
        <v>179</v>
      </c>
      <c r="AB783" t="s">
        <v>18</v>
      </c>
      <c r="AC783">
        <v>3</v>
      </c>
      <c r="AD783" t="s">
        <v>105</v>
      </c>
      <c r="AE783" t="s">
        <v>20</v>
      </c>
      <c r="AF783" t="str">
        <f t="shared" si="25"/>
        <v>Yes</v>
      </c>
    </row>
    <row r="784" spans="1:32" x14ac:dyDescent="0.3">
      <c r="A784" t="s">
        <v>1368</v>
      </c>
      <c r="B784" s="1">
        <v>45804</v>
      </c>
      <c r="C784" t="s">
        <v>388</v>
      </c>
      <c r="D784">
        <f t="shared" si="24"/>
        <v>19</v>
      </c>
      <c r="E784" t="s">
        <v>47</v>
      </c>
      <c r="F784" t="s">
        <v>48</v>
      </c>
      <c r="G784" t="s">
        <v>181</v>
      </c>
      <c r="H784" t="s">
        <v>49</v>
      </c>
      <c r="I784" t="s">
        <v>50</v>
      </c>
      <c r="J784" t="s">
        <v>7</v>
      </c>
      <c r="K784" t="s">
        <v>83</v>
      </c>
      <c r="L784" t="s">
        <v>84</v>
      </c>
      <c r="M784" t="s">
        <v>162</v>
      </c>
      <c r="N784" t="s">
        <v>11</v>
      </c>
      <c r="O784">
        <v>18</v>
      </c>
      <c r="P784" t="s">
        <v>76</v>
      </c>
      <c r="Q784" t="s">
        <v>436</v>
      </c>
      <c r="R784" t="s">
        <v>437</v>
      </c>
      <c r="S784" t="s">
        <v>178</v>
      </c>
      <c r="T784" t="s">
        <v>35</v>
      </c>
      <c r="U784">
        <v>2</v>
      </c>
      <c r="V784">
        <v>66</v>
      </c>
      <c r="W784">
        <v>165</v>
      </c>
      <c r="X784">
        <v>10</v>
      </c>
      <c r="Y784">
        <v>297</v>
      </c>
      <c r="Z784">
        <v>165</v>
      </c>
      <c r="AA784" t="s">
        <v>17</v>
      </c>
      <c r="AB784" t="s">
        <v>44</v>
      </c>
      <c r="AD784" t="s">
        <v>105</v>
      </c>
      <c r="AE784" t="s">
        <v>20</v>
      </c>
      <c r="AF784" t="str">
        <f t="shared" si="25"/>
        <v>Yes</v>
      </c>
    </row>
    <row r="785" spans="1:32" x14ac:dyDescent="0.3">
      <c r="A785" t="s">
        <v>1369</v>
      </c>
      <c r="B785" s="1">
        <v>45837</v>
      </c>
      <c r="C785" t="s">
        <v>265</v>
      </c>
      <c r="D785">
        <f t="shared" si="24"/>
        <v>7</v>
      </c>
      <c r="E785" t="s">
        <v>131</v>
      </c>
      <c r="F785" t="s">
        <v>48</v>
      </c>
      <c r="G785" t="s">
        <v>4</v>
      </c>
      <c r="H785" t="s">
        <v>164</v>
      </c>
      <c r="I785" t="s">
        <v>165</v>
      </c>
      <c r="J785" t="s">
        <v>166</v>
      </c>
      <c r="K785" t="s">
        <v>51</v>
      </c>
      <c r="L785" t="s">
        <v>1041</v>
      </c>
      <c r="M785" t="s">
        <v>169</v>
      </c>
      <c r="N785" t="s">
        <v>30</v>
      </c>
      <c r="O785">
        <v>32</v>
      </c>
      <c r="P785" t="s">
        <v>76</v>
      </c>
      <c r="Q785" t="s">
        <v>204</v>
      </c>
      <c r="R785" t="s">
        <v>205</v>
      </c>
      <c r="S785" t="s">
        <v>118</v>
      </c>
      <c r="T785" t="s">
        <v>35</v>
      </c>
      <c r="U785">
        <v>4</v>
      </c>
      <c r="V785">
        <v>59</v>
      </c>
      <c r="W785">
        <v>177</v>
      </c>
      <c r="X785">
        <v>15</v>
      </c>
      <c r="Y785">
        <v>601.79999999999995</v>
      </c>
      <c r="Z785">
        <v>365.8</v>
      </c>
      <c r="AA785" t="s">
        <v>17</v>
      </c>
      <c r="AB785" t="s">
        <v>87</v>
      </c>
      <c r="AC785">
        <v>5</v>
      </c>
      <c r="AD785" t="s">
        <v>105</v>
      </c>
      <c r="AE785" t="s">
        <v>20</v>
      </c>
      <c r="AF785" t="str">
        <f t="shared" si="25"/>
        <v>Yes</v>
      </c>
    </row>
    <row r="786" spans="1:32" x14ac:dyDescent="0.3">
      <c r="A786" t="s">
        <v>1370</v>
      </c>
      <c r="B786" s="1">
        <v>45714</v>
      </c>
      <c r="C786" t="s">
        <v>463</v>
      </c>
      <c r="D786">
        <f t="shared" si="24"/>
        <v>12</v>
      </c>
      <c r="E786" t="s">
        <v>145</v>
      </c>
      <c r="F786" t="s">
        <v>3</v>
      </c>
      <c r="G786" t="s">
        <v>73</v>
      </c>
      <c r="H786" t="s">
        <v>164</v>
      </c>
      <c r="I786" t="s">
        <v>165</v>
      </c>
      <c r="J786" t="s">
        <v>166</v>
      </c>
      <c r="K786" t="s">
        <v>311</v>
      </c>
      <c r="L786" t="s">
        <v>571</v>
      </c>
      <c r="M786" t="s">
        <v>225</v>
      </c>
      <c r="N786" t="s">
        <v>30</v>
      </c>
      <c r="O786">
        <v>63</v>
      </c>
      <c r="P786" t="s">
        <v>91</v>
      </c>
      <c r="Q786" t="s">
        <v>204</v>
      </c>
      <c r="R786" t="s">
        <v>205</v>
      </c>
      <c r="S786" t="s">
        <v>118</v>
      </c>
      <c r="T786" t="s">
        <v>35</v>
      </c>
      <c r="U786">
        <v>3</v>
      </c>
      <c r="V786">
        <v>59</v>
      </c>
      <c r="W786">
        <v>177</v>
      </c>
      <c r="X786">
        <v>10</v>
      </c>
      <c r="Y786">
        <v>477.9</v>
      </c>
      <c r="Z786">
        <v>300.89999999999998</v>
      </c>
      <c r="AA786" t="s">
        <v>36</v>
      </c>
      <c r="AB786" t="s">
        <v>18</v>
      </c>
      <c r="AD786" t="s">
        <v>105</v>
      </c>
      <c r="AE786" t="s">
        <v>95</v>
      </c>
      <c r="AF786" t="str">
        <f t="shared" si="25"/>
        <v>No</v>
      </c>
    </row>
    <row r="787" spans="1:32" x14ac:dyDescent="0.3">
      <c r="A787" t="s">
        <v>1371</v>
      </c>
      <c r="B787" s="1">
        <v>45729</v>
      </c>
      <c r="C787" t="s">
        <v>158</v>
      </c>
      <c r="D787">
        <f t="shared" si="24"/>
        <v>8</v>
      </c>
      <c r="E787" t="s">
        <v>72</v>
      </c>
      <c r="F787" t="s">
        <v>3</v>
      </c>
      <c r="G787" t="s">
        <v>98</v>
      </c>
      <c r="H787" t="s">
        <v>61</v>
      </c>
      <c r="I787" t="s">
        <v>62</v>
      </c>
      <c r="J787" t="s">
        <v>7</v>
      </c>
      <c r="K787" t="s">
        <v>63</v>
      </c>
      <c r="L787" t="s">
        <v>565</v>
      </c>
      <c r="M787" t="s">
        <v>53</v>
      </c>
      <c r="N787" t="s">
        <v>11</v>
      </c>
      <c r="O787">
        <v>51</v>
      </c>
      <c r="P787" t="s">
        <v>76</v>
      </c>
      <c r="Q787" t="s">
        <v>374</v>
      </c>
      <c r="R787" t="s">
        <v>375</v>
      </c>
      <c r="S787" t="s">
        <v>57</v>
      </c>
      <c r="T787" t="s">
        <v>16</v>
      </c>
      <c r="U787">
        <v>4</v>
      </c>
      <c r="V787">
        <v>80</v>
      </c>
      <c r="W787">
        <v>200</v>
      </c>
      <c r="X787">
        <v>15</v>
      </c>
      <c r="Y787">
        <v>680</v>
      </c>
      <c r="Z787">
        <v>360</v>
      </c>
      <c r="AA787" t="s">
        <v>36</v>
      </c>
      <c r="AB787" t="s">
        <v>44</v>
      </c>
      <c r="AC787">
        <v>5</v>
      </c>
      <c r="AD787" t="s">
        <v>105</v>
      </c>
      <c r="AE787" t="s">
        <v>20</v>
      </c>
      <c r="AF787" t="str">
        <f t="shared" si="25"/>
        <v>Yes</v>
      </c>
    </row>
    <row r="788" spans="1:32" x14ac:dyDescent="0.3">
      <c r="A788" t="s">
        <v>1372</v>
      </c>
      <c r="B788" s="1">
        <v>45695</v>
      </c>
      <c r="C788" t="s">
        <v>414</v>
      </c>
      <c r="D788">
        <f t="shared" si="24"/>
        <v>17</v>
      </c>
      <c r="E788" t="s">
        <v>145</v>
      </c>
      <c r="F788" t="s">
        <v>3</v>
      </c>
      <c r="G788" t="s">
        <v>40</v>
      </c>
      <c r="H788" t="s">
        <v>81</v>
      </c>
      <c r="I788" t="s">
        <v>82</v>
      </c>
      <c r="J788" t="s">
        <v>7</v>
      </c>
      <c r="K788" t="s">
        <v>114</v>
      </c>
      <c r="L788" t="s">
        <v>906</v>
      </c>
      <c r="M788" t="s">
        <v>65</v>
      </c>
      <c r="N788" t="s">
        <v>11</v>
      </c>
      <c r="O788">
        <v>35</v>
      </c>
      <c r="P788" t="s">
        <v>91</v>
      </c>
      <c r="Q788" t="s">
        <v>605</v>
      </c>
      <c r="R788" t="s">
        <v>606</v>
      </c>
      <c r="S788" t="s">
        <v>237</v>
      </c>
      <c r="T788" t="s">
        <v>35</v>
      </c>
      <c r="U788">
        <v>3</v>
      </c>
      <c r="V788">
        <v>79</v>
      </c>
      <c r="W788">
        <v>173.8</v>
      </c>
      <c r="X788">
        <v>15</v>
      </c>
      <c r="Y788">
        <v>443.19</v>
      </c>
      <c r="Z788">
        <v>206.19</v>
      </c>
      <c r="AA788" t="s">
        <v>179</v>
      </c>
      <c r="AB788" t="s">
        <v>87</v>
      </c>
      <c r="AC788">
        <v>4</v>
      </c>
      <c r="AD788" t="s">
        <v>19</v>
      </c>
      <c r="AE788" t="s">
        <v>20</v>
      </c>
      <c r="AF788" t="str">
        <f t="shared" si="25"/>
        <v>Yes</v>
      </c>
    </row>
    <row r="789" spans="1:32" x14ac:dyDescent="0.3">
      <c r="A789" t="s">
        <v>1373</v>
      </c>
      <c r="B789" s="1">
        <v>45792</v>
      </c>
      <c r="C789" t="s">
        <v>214</v>
      </c>
      <c r="D789">
        <f t="shared" si="24"/>
        <v>7</v>
      </c>
      <c r="E789" t="s">
        <v>47</v>
      </c>
      <c r="F789" t="s">
        <v>48</v>
      </c>
      <c r="G789" t="s">
        <v>98</v>
      </c>
      <c r="H789" t="s">
        <v>159</v>
      </c>
      <c r="I789" t="s">
        <v>160</v>
      </c>
      <c r="J789" t="s">
        <v>161</v>
      </c>
      <c r="K789" t="s">
        <v>167</v>
      </c>
      <c r="L789" t="s">
        <v>1252</v>
      </c>
      <c r="M789" t="s">
        <v>162</v>
      </c>
      <c r="N789" t="s">
        <v>11</v>
      </c>
      <c r="O789">
        <v>22</v>
      </c>
      <c r="P789" t="s">
        <v>12</v>
      </c>
      <c r="Q789" t="s">
        <v>262</v>
      </c>
      <c r="R789" t="s">
        <v>263</v>
      </c>
      <c r="S789" t="s">
        <v>218</v>
      </c>
      <c r="T789" t="s">
        <v>35</v>
      </c>
      <c r="U789">
        <v>2</v>
      </c>
      <c r="V789">
        <v>40</v>
      </c>
      <c r="W789">
        <v>112</v>
      </c>
      <c r="X789">
        <v>10</v>
      </c>
      <c r="Y789">
        <v>201.6</v>
      </c>
      <c r="Z789">
        <v>121.6</v>
      </c>
      <c r="AA789" t="s">
        <v>36</v>
      </c>
      <c r="AB789" t="s">
        <v>129</v>
      </c>
      <c r="AC789">
        <v>4</v>
      </c>
      <c r="AD789" t="s">
        <v>19</v>
      </c>
      <c r="AE789" t="s">
        <v>95</v>
      </c>
      <c r="AF789" t="str">
        <f t="shared" si="25"/>
        <v>No</v>
      </c>
    </row>
    <row r="790" spans="1:32" x14ac:dyDescent="0.3">
      <c r="A790" t="s">
        <v>1374</v>
      </c>
      <c r="B790" s="1">
        <v>45747</v>
      </c>
      <c r="C790" t="s">
        <v>337</v>
      </c>
      <c r="D790">
        <f t="shared" si="24"/>
        <v>17</v>
      </c>
      <c r="E790" t="s">
        <v>72</v>
      </c>
      <c r="F790" t="s">
        <v>3</v>
      </c>
      <c r="G790" t="s">
        <v>23</v>
      </c>
      <c r="H790" t="s">
        <v>49</v>
      </c>
      <c r="I790" t="s">
        <v>50</v>
      </c>
      <c r="J790" t="s">
        <v>7</v>
      </c>
      <c r="K790" t="s">
        <v>51</v>
      </c>
      <c r="L790" t="s">
        <v>1375</v>
      </c>
      <c r="M790" t="s">
        <v>65</v>
      </c>
      <c r="N790" t="s">
        <v>11</v>
      </c>
      <c r="O790">
        <v>45</v>
      </c>
      <c r="P790" t="s">
        <v>76</v>
      </c>
      <c r="Q790" t="s">
        <v>211</v>
      </c>
      <c r="R790" t="s">
        <v>212</v>
      </c>
      <c r="S790" t="s">
        <v>128</v>
      </c>
      <c r="T790" t="s">
        <v>16</v>
      </c>
      <c r="U790">
        <v>1</v>
      </c>
      <c r="V790">
        <v>50</v>
      </c>
      <c r="W790">
        <v>140</v>
      </c>
      <c r="X790">
        <v>10</v>
      </c>
      <c r="Y790">
        <v>126</v>
      </c>
      <c r="Z790">
        <v>76</v>
      </c>
      <c r="AA790" t="s">
        <v>179</v>
      </c>
      <c r="AB790" t="s">
        <v>44</v>
      </c>
      <c r="AC790">
        <v>4</v>
      </c>
      <c r="AD790" t="s">
        <v>19</v>
      </c>
      <c r="AE790" t="s">
        <v>20</v>
      </c>
      <c r="AF790" t="str">
        <f t="shared" si="25"/>
        <v>Yes</v>
      </c>
    </row>
    <row r="791" spans="1:32" x14ac:dyDescent="0.3">
      <c r="A791" t="s">
        <v>1376</v>
      </c>
      <c r="B791" s="1">
        <v>45713</v>
      </c>
      <c r="C791" t="s">
        <v>202</v>
      </c>
      <c r="D791">
        <f t="shared" si="24"/>
        <v>11</v>
      </c>
      <c r="E791" t="s">
        <v>145</v>
      </c>
      <c r="F791" t="s">
        <v>3</v>
      </c>
      <c r="G791" t="s">
        <v>181</v>
      </c>
      <c r="H791" t="s">
        <v>24</v>
      </c>
      <c r="I791" t="s">
        <v>25</v>
      </c>
      <c r="J791" t="s">
        <v>26</v>
      </c>
      <c r="K791" t="s">
        <v>346</v>
      </c>
      <c r="L791" t="s">
        <v>795</v>
      </c>
      <c r="M791" t="s">
        <v>169</v>
      </c>
      <c r="N791" t="s">
        <v>11</v>
      </c>
      <c r="O791">
        <v>32</v>
      </c>
      <c r="P791" t="s">
        <v>76</v>
      </c>
      <c r="Q791" t="s">
        <v>13</v>
      </c>
      <c r="R791" t="s">
        <v>14</v>
      </c>
      <c r="S791" t="s">
        <v>15</v>
      </c>
      <c r="T791" t="s">
        <v>16</v>
      </c>
      <c r="U791">
        <v>2</v>
      </c>
      <c r="V791">
        <v>43</v>
      </c>
      <c r="W791">
        <v>129</v>
      </c>
      <c r="X791">
        <v>0</v>
      </c>
      <c r="Y791">
        <v>258</v>
      </c>
      <c r="Z791">
        <v>172</v>
      </c>
      <c r="AA791" t="s">
        <v>17</v>
      </c>
      <c r="AB791" t="s">
        <v>18</v>
      </c>
      <c r="AD791" t="s">
        <v>105</v>
      </c>
      <c r="AE791" t="s">
        <v>20</v>
      </c>
      <c r="AF791" t="str">
        <f t="shared" si="25"/>
        <v>Yes</v>
      </c>
    </row>
    <row r="792" spans="1:32" x14ac:dyDescent="0.3">
      <c r="A792" t="s">
        <v>1377</v>
      </c>
      <c r="B792" s="1">
        <v>45833</v>
      </c>
      <c r="C792" t="s">
        <v>388</v>
      </c>
      <c r="D792">
        <f t="shared" si="24"/>
        <v>19</v>
      </c>
      <c r="E792" t="s">
        <v>131</v>
      </c>
      <c r="F792" t="s">
        <v>48</v>
      </c>
      <c r="G792" t="s">
        <v>73</v>
      </c>
      <c r="H792" t="s">
        <v>164</v>
      </c>
      <c r="I792" t="s">
        <v>165</v>
      </c>
      <c r="J792" t="s">
        <v>166</v>
      </c>
      <c r="K792" t="s">
        <v>51</v>
      </c>
      <c r="L792" t="s">
        <v>222</v>
      </c>
      <c r="M792" t="s">
        <v>162</v>
      </c>
      <c r="N792" t="s">
        <v>11</v>
      </c>
      <c r="O792">
        <v>55</v>
      </c>
      <c r="P792" t="s">
        <v>12</v>
      </c>
      <c r="Q792" t="s">
        <v>256</v>
      </c>
      <c r="R792" t="s">
        <v>257</v>
      </c>
      <c r="S792" t="s">
        <v>118</v>
      </c>
      <c r="T792" t="s">
        <v>35</v>
      </c>
      <c r="U792">
        <v>3</v>
      </c>
      <c r="V792">
        <v>30</v>
      </c>
      <c r="W792">
        <v>90</v>
      </c>
      <c r="X792">
        <v>5</v>
      </c>
      <c r="Y792">
        <v>256.5</v>
      </c>
      <c r="Z792">
        <v>166.5</v>
      </c>
      <c r="AA792" t="s">
        <v>17</v>
      </c>
      <c r="AB792" t="s">
        <v>119</v>
      </c>
      <c r="AC792">
        <v>4</v>
      </c>
      <c r="AD792" t="s">
        <v>19</v>
      </c>
      <c r="AE792" t="s">
        <v>20</v>
      </c>
      <c r="AF792" t="str">
        <f t="shared" si="25"/>
        <v>Yes</v>
      </c>
    </row>
    <row r="793" spans="1:32" x14ac:dyDescent="0.3">
      <c r="A793" t="s">
        <v>1378</v>
      </c>
      <c r="B793" s="1">
        <v>45775</v>
      </c>
      <c r="C793" t="s">
        <v>373</v>
      </c>
      <c r="D793">
        <f t="shared" si="24"/>
        <v>9</v>
      </c>
      <c r="E793" t="s">
        <v>60</v>
      </c>
      <c r="F793" t="s">
        <v>48</v>
      </c>
      <c r="G793" t="s">
        <v>23</v>
      </c>
      <c r="H793" t="s">
        <v>49</v>
      </c>
      <c r="I793" t="s">
        <v>50</v>
      </c>
      <c r="J793" t="s">
        <v>7</v>
      </c>
      <c r="K793" t="s">
        <v>245</v>
      </c>
      <c r="L793" t="s">
        <v>168</v>
      </c>
      <c r="M793" t="s">
        <v>162</v>
      </c>
      <c r="N793" t="s">
        <v>11</v>
      </c>
      <c r="O793">
        <v>53</v>
      </c>
      <c r="P793" t="s">
        <v>31</v>
      </c>
      <c r="Q793" t="s">
        <v>409</v>
      </c>
      <c r="R793" t="s">
        <v>410</v>
      </c>
      <c r="S793" t="s">
        <v>237</v>
      </c>
      <c r="T793" t="s">
        <v>16</v>
      </c>
      <c r="U793">
        <v>4</v>
      </c>
      <c r="V793">
        <v>26</v>
      </c>
      <c r="W793">
        <v>78</v>
      </c>
      <c r="X793">
        <v>10</v>
      </c>
      <c r="Y793">
        <v>280.8</v>
      </c>
      <c r="Z793">
        <v>176.8</v>
      </c>
      <c r="AA793" t="s">
        <v>179</v>
      </c>
      <c r="AB793" t="s">
        <v>129</v>
      </c>
      <c r="AC793">
        <v>4</v>
      </c>
      <c r="AD793" t="s">
        <v>19</v>
      </c>
      <c r="AE793" t="s">
        <v>20</v>
      </c>
      <c r="AF793" t="str">
        <f t="shared" si="25"/>
        <v>Yes</v>
      </c>
    </row>
    <row r="794" spans="1:32" x14ac:dyDescent="0.3">
      <c r="A794" t="s">
        <v>1379</v>
      </c>
      <c r="B794" s="1">
        <v>45789</v>
      </c>
      <c r="C794" t="s">
        <v>59</v>
      </c>
      <c r="D794">
        <f t="shared" si="24"/>
        <v>16</v>
      </c>
      <c r="E794" t="s">
        <v>47</v>
      </c>
      <c r="F794" t="s">
        <v>48</v>
      </c>
      <c r="G794" t="s">
        <v>23</v>
      </c>
      <c r="H794" t="s">
        <v>61</v>
      </c>
      <c r="I794" t="s">
        <v>62</v>
      </c>
      <c r="J794" t="s">
        <v>7</v>
      </c>
      <c r="K794" t="s">
        <v>182</v>
      </c>
      <c r="L794" t="s">
        <v>1043</v>
      </c>
      <c r="M794" t="s">
        <v>225</v>
      </c>
      <c r="N794" t="s">
        <v>30</v>
      </c>
      <c r="O794">
        <v>43</v>
      </c>
      <c r="P794" t="s">
        <v>76</v>
      </c>
      <c r="Q794" t="s">
        <v>252</v>
      </c>
      <c r="R794" t="s">
        <v>253</v>
      </c>
      <c r="S794" t="s">
        <v>178</v>
      </c>
      <c r="T794" t="s">
        <v>35</v>
      </c>
      <c r="U794">
        <v>4</v>
      </c>
      <c r="V794">
        <v>82</v>
      </c>
      <c r="W794">
        <v>205</v>
      </c>
      <c r="X794">
        <v>10</v>
      </c>
      <c r="Y794">
        <v>738</v>
      </c>
      <c r="Z794">
        <v>410</v>
      </c>
      <c r="AA794" t="s">
        <v>36</v>
      </c>
      <c r="AB794" t="s">
        <v>119</v>
      </c>
      <c r="AC794">
        <v>4</v>
      </c>
      <c r="AD794" t="s">
        <v>19</v>
      </c>
      <c r="AE794" t="s">
        <v>20</v>
      </c>
      <c r="AF794" t="str">
        <f t="shared" si="25"/>
        <v>Yes</v>
      </c>
    </row>
    <row r="795" spans="1:32" x14ac:dyDescent="0.3">
      <c r="A795" t="s">
        <v>1380</v>
      </c>
      <c r="B795" s="1">
        <v>45812</v>
      </c>
      <c r="C795" t="s">
        <v>46</v>
      </c>
      <c r="D795">
        <f t="shared" si="24"/>
        <v>19</v>
      </c>
      <c r="E795" t="s">
        <v>131</v>
      </c>
      <c r="F795" t="s">
        <v>48</v>
      </c>
      <c r="G795" t="s">
        <v>73</v>
      </c>
      <c r="H795" t="s">
        <v>150</v>
      </c>
      <c r="I795" t="s">
        <v>151</v>
      </c>
      <c r="J795" t="s">
        <v>152</v>
      </c>
      <c r="K795" t="s">
        <v>167</v>
      </c>
      <c r="L795" t="s">
        <v>528</v>
      </c>
      <c r="M795" t="s">
        <v>225</v>
      </c>
      <c r="N795" t="s">
        <v>11</v>
      </c>
      <c r="O795">
        <v>46</v>
      </c>
      <c r="P795" t="s">
        <v>76</v>
      </c>
      <c r="Q795" t="s">
        <v>216</v>
      </c>
      <c r="R795" t="s">
        <v>217</v>
      </c>
      <c r="S795" t="s">
        <v>218</v>
      </c>
      <c r="T795" t="s">
        <v>35</v>
      </c>
      <c r="U795">
        <v>2</v>
      </c>
      <c r="V795">
        <v>67</v>
      </c>
      <c r="W795">
        <v>187.6</v>
      </c>
      <c r="X795">
        <v>15</v>
      </c>
      <c r="Y795">
        <v>318.92</v>
      </c>
      <c r="Z795">
        <v>184.92</v>
      </c>
      <c r="AA795" t="s">
        <v>36</v>
      </c>
      <c r="AB795" t="s">
        <v>44</v>
      </c>
      <c r="AC795">
        <v>3</v>
      </c>
      <c r="AD795" t="s">
        <v>19</v>
      </c>
      <c r="AE795" t="s">
        <v>20</v>
      </c>
      <c r="AF795" t="str">
        <f t="shared" si="25"/>
        <v>Yes</v>
      </c>
    </row>
    <row r="796" spans="1:32" x14ac:dyDescent="0.3">
      <c r="A796" t="s">
        <v>1381</v>
      </c>
      <c r="B796" s="1">
        <v>45717</v>
      </c>
      <c r="C796" t="s">
        <v>420</v>
      </c>
      <c r="D796">
        <f t="shared" si="24"/>
        <v>21</v>
      </c>
      <c r="E796" t="s">
        <v>72</v>
      </c>
      <c r="F796" t="s">
        <v>3</v>
      </c>
      <c r="G796" t="s">
        <v>132</v>
      </c>
      <c r="H796" t="s">
        <v>61</v>
      </c>
      <c r="I796" t="s">
        <v>62</v>
      </c>
      <c r="J796" t="s">
        <v>7</v>
      </c>
      <c r="K796" t="s">
        <v>270</v>
      </c>
      <c r="L796" t="s">
        <v>479</v>
      </c>
      <c r="M796" t="s">
        <v>225</v>
      </c>
      <c r="N796" t="s">
        <v>30</v>
      </c>
      <c r="O796">
        <v>30</v>
      </c>
      <c r="P796" t="s">
        <v>31</v>
      </c>
      <c r="Q796" t="s">
        <v>126</v>
      </c>
      <c r="R796" t="s">
        <v>127</v>
      </c>
      <c r="S796" t="s">
        <v>128</v>
      </c>
      <c r="T796" t="s">
        <v>35</v>
      </c>
      <c r="U796">
        <v>3</v>
      </c>
      <c r="V796">
        <v>69</v>
      </c>
      <c r="W796">
        <v>193.2</v>
      </c>
      <c r="X796">
        <v>5</v>
      </c>
      <c r="Y796">
        <v>550.62</v>
      </c>
      <c r="Z796">
        <v>343.62</v>
      </c>
      <c r="AA796" t="s">
        <v>43</v>
      </c>
      <c r="AB796" t="s">
        <v>37</v>
      </c>
      <c r="AC796">
        <v>4</v>
      </c>
      <c r="AD796" t="s">
        <v>105</v>
      </c>
      <c r="AE796" t="s">
        <v>20</v>
      </c>
      <c r="AF796" t="str">
        <f t="shared" si="25"/>
        <v>Yes</v>
      </c>
    </row>
    <row r="797" spans="1:32" x14ac:dyDescent="0.3">
      <c r="A797" t="s">
        <v>1382</v>
      </c>
      <c r="B797" s="1">
        <v>45720</v>
      </c>
      <c r="C797" t="s">
        <v>407</v>
      </c>
      <c r="D797">
        <f t="shared" si="24"/>
        <v>8</v>
      </c>
      <c r="E797" t="s">
        <v>72</v>
      </c>
      <c r="F797" t="s">
        <v>3</v>
      </c>
      <c r="G797" t="s">
        <v>181</v>
      </c>
      <c r="H797" t="s">
        <v>122</v>
      </c>
      <c r="I797" t="s">
        <v>123</v>
      </c>
      <c r="J797" t="s">
        <v>7</v>
      </c>
      <c r="K797" t="s">
        <v>270</v>
      </c>
      <c r="L797" t="s">
        <v>910</v>
      </c>
      <c r="M797" t="s">
        <v>65</v>
      </c>
      <c r="N797" t="s">
        <v>30</v>
      </c>
      <c r="O797">
        <v>65</v>
      </c>
      <c r="P797" t="s">
        <v>54</v>
      </c>
      <c r="Q797" t="s">
        <v>77</v>
      </c>
      <c r="R797" t="s">
        <v>78</v>
      </c>
      <c r="S797" t="s">
        <v>68</v>
      </c>
      <c r="T797" t="s">
        <v>16</v>
      </c>
      <c r="U797">
        <v>2</v>
      </c>
      <c r="V797">
        <v>35</v>
      </c>
      <c r="W797">
        <v>105</v>
      </c>
      <c r="X797">
        <v>10</v>
      </c>
      <c r="Y797">
        <v>189</v>
      </c>
      <c r="Z797">
        <v>119</v>
      </c>
      <c r="AA797" t="s">
        <v>36</v>
      </c>
      <c r="AB797" t="s">
        <v>37</v>
      </c>
      <c r="AC797">
        <v>5</v>
      </c>
      <c r="AD797" t="s">
        <v>19</v>
      </c>
      <c r="AE797" t="s">
        <v>95</v>
      </c>
      <c r="AF797" t="str">
        <f t="shared" si="25"/>
        <v>No</v>
      </c>
    </row>
    <row r="798" spans="1:32" x14ac:dyDescent="0.3">
      <c r="A798" t="s">
        <v>1383</v>
      </c>
      <c r="B798" s="1">
        <v>45675</v>
      </c>
      <c r="C798" t="s">
        <v>71</v>
      </c>
      <c r="D798">
        <f t="shared" si="24"/>
        <v>10</v>
      </c>
      <c r="E798" t="s">
        <v>2</v>
      </c>
      <c r="F798" t="s">
        <v>3</v>
      </c>
      <c r="G798" t="s">
        <v>132</v>
      </c>
      <c r="H798" t="s">
        <v>49</v>
      </c>
      <c r="I798" t="s">
        <v>50</v>
      </c>
      <c r="J798" t="s">
        <v>7</v>
      </c>
      <c r="K798" t="s">
        <v>311</v>
      </c>
      <c r="L798" t="s">
        <v>443</v>
      </c>
      <c r="M798" t="s">
        <v>225</v>
      </c>
      <c r="N798" t="s">
        <v>11</v>
      </c>
      <c r="O798">
        <v>23</v>
      </c>
      <c r="P798" t="s">
        <v>91</v>
      </c>
      <c r="Q798" t="s">
        <v>291</v>
      </c>
      <c r="R798" t="s">
        <v>292</v>
      </c>
      <c r="S798" t="s">
        <v>242</v>
      </c>
      <c r="T798" t="s">
        <v>16</v>
      </c>
      <c r="U798">
        <v>3</v>
      </c>
      <c r="V798">
        <v>68</v>
      </c>
      <c r="W798">
        <v>204</v>
      </c>
      <c r="X798">
        <v>10</v>
      </c>
      <c r="Y798">
        <v>550.79999999999995</v>
      </c>
      <c r="Z798">
        <v>346.8</v>
      </c>
      <c r="AA798" t="s">
        <v>36</v>
      </c>
      <c r="AB798" t="s">
        <v>37</v>
      </c>
      <c r="AC798">
        <v>5</v>
      </c>
      <c r="AD798" t="s">
        <v>19</v>
      </c>
      <c r="AE798" t="s">
        <v>20</v>
      </c>
      <c r="AF798" t="str">
        <f t="shared" si="25"/>
        <v>Yes</v>
      </c>
    </row>
    <row r="799" spans="1:32" x14ac:dyDescent="0.3">
      <c r="A799" t="s">
        <v>1384</v>
      </c>
      <c r="B799" s="1">
        <v>45709</v>
      </c>
      <c r="C799" t="s">
        <v>71</v>
      </c>
      <c r="D799">
        <f t="shared" si="24"/>
        <v>10</v>
      </c>
      <c r="E799" t="s">
        <v>145</v>
      </c>
      <c r="F799" t="s">
        <v>3</v>
      </c>
      <c r="G799" t="s">
        <v>40</v>
      </c>
      <c r="H799" t="s">
        <v>159</v>
      </c>
      <c r="I799" t="s">
        <v>160</v>
      </c>
      <c r="J799" t="s">
        <v>161</v>
      </c>
      <c r="K799" t="s">
        <v>41</v>
      </c>
      <c r="L799" t="s">
        <v>1385</v>
      </c>
      <c r="M799" t="s">
        <v>10</v>
      </c>
      <c r="N799" t="s">
        <v>11</v>
      </c>
      <c r="O799">
        <v>20</v>
      </c>
      <c r="P799" t="s">
        <v>91</v>
      </c>
      <c r="Q799" t="s">
        <v>409</v>
      </c>
      <c r="R799" t="s">
        <v>410</v>
      </c>
      <c r="S799" t="s">
        <v>237</v>
      </c>
      <c r="T799" t="s">
        <v>16</v>
      </c>
      <c r="U799">
        <v>2</v>
      </c>
      <c r="V799">
        <v>26</v>
      </c>
      <c r="W799">
        <v>78</v>
      </c>
      <c r="X799">
        <v>5</v>
      </c>
      <c r="Y799">
        <v>148.19999999999999</v>
      </c>
      <c r="Z799">
        <v>96.2</v>
      </c>
      <c r="AA799" t="s">
        <v>69</v>
      </c>
      <c r="AB799" t="s">
        <v>18</v>
      </c>
      <c r="AC799">
        <v>4</v>
      </c>
      <c r="AD799" t="s">
        <v>19</v>
      </c>
      <c r="AE799" t="s">
        <v>95</v>
      </c>
      <c r="AF799" t="str">
        <f t="shared" si="25"/>
        <v>No</v>
      </c>
    </row>
    <row r="800" spans="1:32" x14ac:dyDescent="0.3">
      <c r="A800" t="s">
        <v>1386</v>
      </c>
      <c r="B800" s="1">
        <v>45686</v>
      </c>
      <c r="C800" t="s">
        <v>191</v>
      </c>
      <c r="D800">
        <f t="shared" si="24"/>
        <v>19</v>
      </c>
      <c r="E800" t="s">
        <v>2</v>
      </c>
      <c r="F800" t="s">
        <v>3</v>
      </c>
      <c r="G800" t="s">
        <v>73</v>
      </c>
      <c r="H800" t="s">
        <v>81</v>
      </c>
      <c r="I800" t="s">
        <v>82</v>
      </c>
      <c r="J800" t="s">
        <v>7</v>
      </c>
      <c r="K800" t="s">
        <v>146</v>
      </c>
      <c r="L800" t="s">
        <v>220</v>
      </c>
      <c r="M800" t="s">
        <v>29</v>
      </c>
      <c r="N800" t="s">
        <v>30</v>
      </c>
      <c r="O800">
        <v>17</v>
      </c>
      <c r="P800" t="s">
        <v>54</v>
      </c>
      <c r="Q800" t="s">
        <v>216</v>
      </c>
      <c r="R800" t="s">
        <v>217</v>
      </c>
      <c r="S800" t="s">
        <v>218</v>
      </c>
      <c r="T800" t="s">
        <v>35</v>
      </c>
      <c r="U800">
        <v>3</v>
      </c>
      <c r="V800">
        <v>67</v>
      </c>
      <c r="W800">
        <v>187.6</v>
      </c>
      <c r="X800">
        <v>15</v>
      </c>
      <c r="Y800">
        <v>478.38</v>
      </c>
      <c r="Z800">
        <v>277.38</v>
      </c>
      <c r="AA800" t="s">
        <v>36</v>
      </c>
      <c r="AB800" t="s">
        <v>37</v>
      </c>
      <c r="AC800">
        <v>4</v>
      </c>
      <c r="AD800" t="s">
        <v>19</v>
      </c>
      <c r="AE800" t="s">
        <v>95</v>
      </c>
      <c r="AF800" t="str">
        <f t="shared" si="25"/>
        <v>No</v>
      </c>
    </row>
    <row r="801" spans="1:32" x14ac:dyDescent="0.3">
      <c r="A801" t="s">
        <v>1387</v>
      </c>
      <c r="B801" s="1">
        <v>45733</v>
      </c>
      <c r="C801" t="s">
        <v>399</v>
      </c>
      <c r="D801">
        <f t="shared" si="24"/>
        <v>20</v>
      </c>
      <c r="E801" t="s">
        <v>72</v>
      </c>
      <c r="F801" t="s">
        <v>3</v>
      </c>
      <c r="G801" t="s">
        <v>23</v>
      </c>
      <c r="H801" t="s">
        <v>5</v>
      </c>
      <c r="I801" t="s">
        <v>6</v>
      </c>
      <c r="J801" t="s">
        <v>7</v>
      </c>
      <c r="K801" t="s">
        <v>51</v>
      </c>
      <c r="L801" t="s">
        <v>526</v>
      </c>
      <c r="M801" t="s">
        <v>10</v>
      </c>
      <c r="N801" t="s">
        <v>30</v>
      </c>
      <c r="O801">
        <v>49</v>
      </c>
      <c r="P801" t="s">
        <v>76</v>
      </c>
      <c r="Q801" t="s">
        <v>240</v>
      </c>
      <c r="R801" t="s">
        <v>241</v>
      </c>
      <c r="S801" t="s">
        <v>242</v>
      </c>
      <c r="T801" t="s">
        <v>35</v>
      </c>
      <c r="U801">
        <v>2</v>
      </c>
      <c r="V801">
        <v>89</v>
      </c>
      <c r="W801">
        <v>267</v>
      </c>
      <c r="X801">
        <v>5</v>
      </c>
      <c r="Y801">
        <v>507.3</v>
      </c>
      <c r="Z801">
        <v>329.3</v>
      </c>
      <c r="AA801" t="s">
        <v>179</v>
      </c>
      <c r="AB801" t="s">
        <v>119</v>
      </c>
      <c r="AC801">
        <v>4</v>
      </c>
      <c r="AD801" t="s">
        <v>19</v>
      </c>
      <c r="AE801" t="s">
        <v>20</v>
      </c>
      <c r="AF801" t="str">
        <f t="shared" si="25"/>
        <v>Yes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2026-09-10T10:32:02Z</dcterms:created>
  <dcterms:modified xsi:type="dcterms:W3CDTF">2026-09-10T10:33:47Z</dcterms:modified>
</cp:coreProperties>
</file>